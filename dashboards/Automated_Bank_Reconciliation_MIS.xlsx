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tables/table1.xml" ContentType="application/vnd.openxmlformats-officedocument.spreadsheetml.table+xml"/>
  <Override PartName="/xl/queryTables/queryTable1.xml" ContentType="application/vnd.openxmlformats-officedocument.spreadsheetml.queryTable+xml"/>
  <Override PartName="/xl/pivotTables/pivotTable1.xml" ContentType="application/vnd.openxmlformats-officedocument.spreadsheetml.pivotTable+xml"/>
  <Override PartName="/xl/drawings/drawing1.xml" ContentType="application/vnd.openxmlformats-officedocument.drawing+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pivotTables/pivotTable2.xml" ContentType="application/vnd.openxmlformats-officedocument.spreadsheetml.pivotTable+xml"/>
  <Override PartName="/xl/drawings/drawing2.xml" ContentType="application/vnd.openxmlformats-officedocument.drawing+xml"/>
  <Override PartName="/xl/slicers/slicer2.xml" ContentType="application/vnd.ms-excel.slicer+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alcChain.xml" ContentType="application/vnd.openxmlformats-officedocument.spreadsheetml.calcChain+xml"/>
  <Override PartName="/customXml/itemProps1.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326"/>
  <workbookPr/>
  <mc:AlternateContent xmlns:mc="http://schemas.openxmlformats.org/markup-compatibility/2006">
    <mc:Choice Requires="x15">
      <x15ac:absPath xmlns:x15ac="http://schemas.microsoft.com/office/spreadsheetml/2010/11/ac" url="https://d.docs.live.net/30470fb21243a40c/Desktop/DA Projects/Automated-Bank-Reconciliation-MIS/dashboards/excel/"/>
    </mc:Choice>
  </mc:AlternateContent>
  <xr:revisionPtr revIDLastSave="0" documentId="13_ncr:1_{C483EFFF-8ED1-493B-9EE4-24B87C20F16B}" xr6:coauthVersionLast="47" xr6:coauthVersionMax="47" xr10:uidLastSave="{00000000-0000-0000-0000-000000000000}"/>
  <bookViews>
    <workbookView xWindow="-108" yWindow="-108" windowWidth="23256" windowHeight="12456" xr2:uid="{00000000-000D-0000-FFFF-FFFF00000000}"/>
  </bookViews>
  <sheets>
    <sheet name="Transaction Detail" sheetId="5" r:id="rId1"/>
    <sheet name="Executive Summary" sheetId="1" r:id="rId2"/>
    <sheet name="Exception Report" sheetId="2" r:id="rId3"/>
    <sheet name="Control Checks" sheetId="4" r:id="rId4"/>
  </sheets>
  <definedNames>
    <definedName name="ExternalData_1" localSheetId="0" hidden="1">'Transaction Detail'!$A$1:$P$994</definedName>
    <definedName name="ProjectRoot">'Control Checks'!$XFD$1</definedName>
    <definedName name="Slicer_confidence_tier">#N/A</definedName>
    <definedName name="Slicer_confidence_tier1">#N/A</definedName>
    <definedName name="Slicer_match_status">#N/A</definedName>
  </definedNames>
  <calcPr calcId="191029"/>
  <pivotCaches>
    <pivotCache cacheId="0" r:id="rId5"/>
  </pivotCaches>
  <extLst>
    <ext xmlns:x14="http://schemas.microsoft.com/office/spreadsheetml/2009/9/main" uri="{BBE1A952-AA13-448e-AADC-164F8A28A991}">
      <x14:slicerCaches>
        <x14:slicerCache r:id="rId6"/>
        <x14:slicerCache r:id="rId7"/>
        <x14:slicerCache r:id="rId8"/>
      </x14:slicerCaches>
    </ext>
    <ext xmlns:x14="http://schemas.microsoft.com/office/spreadsheetml/2009/9/main" uri="{79F54976-1DA5-4618-B147-4CDE4B953A38}">
      <x14:workbookPr/>
    </ex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XFD1" i="4" l="1"/>
  <c r="B6" i="1" a="1"/>
  <c r="B6" i="1" s="1"/>
  <c r="F10" i="1"/>
  <c r="B10" i="1" a="1"/>
  <c r="B10" i="1" s="1"/>
  <c r="J6" i="1"/>
  <c r="F6" i="1" a="1"/>
  <c r="F6" i="1" s="1"/>
  <c r="D9" i="4"/>
  <c r="E9" i="4" s="1"/>
  <c r="D11" i="4"/>
  <c r="E11" i="4" s="1"/>
  <c r="D10" i="4"/>
  <c r="E10" i="4" s="1"/>
  <c r="D8" i="4"/>
  <c r="E8" i="4" s="1"/>
  <c r="D7" i="4" a="1"/>
  <c r="D7" i="4" s="1"/>
  <c r="E7" i="4" s="1"/>
  <c r="D6" i="4" a="1"/>
  <c r="D6" i="4" s="1"/>
  <c r="E6" i="4" s="1"/>
  <c r="B6" i="2"/>
  <c r="K6" i="2"/>
  <c r="H6" i="2"/>
  <c r="E6" i="2"/>
  <c r="J10" i="1" l="1"/>
</calcChain>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AECBB7B5-1C80-4EC7-8DBB-4796C3DC7C82}" keepAlive="1" name="Query - reconciliation_results_v4" description="Connection to the 'reconciliation_results_v4' query in the workbook." type="5" refreshedVersion="8" saveData="1">
    <dbPr connection="Provider=Microsoft.Mashup.OleDb.1;Data Source=$Workbook$;Location=reconciliation_results_v4;Extended Properties=&quot;&quot;" command="SELECT * FROM [reconciliation_results_v4]"/>
  </connection>
</connections>
</file>

<file path=xl/metadata.xml><?xml version="1.0" encoding="utf-8"?>
<metadata xmlns="http://schemas.openxmlformats.org/spreadsheetml/2006/main"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haredStrings.xml><?xml version="1.0" encoding="utf-8"?>
<sst xmlns="http://schemas.openxmlformats.org/spreadsheetml/2006/main" count="8998" uniqueCount="3055">
  <si>
    <t>bank_transaction_id</t>
  </si>
  <si>
    <t>ledger_id</t>
  </si>
  <si>
    <t>bank_date</t>
  </si>
  <si>
    <t>ledger_date</t>
  </si>
  <si>
    <t>bank_amount</t>
  </si>
  <si>
    <t>ledger_amount</t>
  </si>
  <si>
    <t>amount_difference</t>
  </si>
  <si>
    <t>date_difference_days</t>
  </si>
  <si>
    <t>bank_description</t>
  </si>
  <si>
    <t>ledger_description</t>
  </si>
  <si>
    <t>match_status</t>
  </si>
  <si>
    <t>match_reason</t>
  </si>
  <si>
    <t>confidence_score</t>
  </si>
  <si>
    <t>confidence_tier</t>
  </si>
  <si>
    <t>duplicate_flag</t>
  </si>
  <si>
    <t>duplicate_note</t>
  </si>
  <si>
    <t>6e80ee9f-49b5-434f-8ab6-f192a2296e6c</t>
  </si>
  <si>
    <t>LED100001</t>
  </si>
  <si>
    <t>GAS FILLING STATION</t>
  </si>
  <si>
    <t>Matched</t>
  </si>
  <si>
    <t>Exact amount + date + transaction type</t>
  </si>
  <si>
    <t>High</t>
  </si>
  <si>
    <t>No</t>
  </si>
  <si>
    <t>No duplicate candidate</t>
  </si>
  <si>
    <t>a734aa85-4bf8-44c0-b508-305f554dc51e</t>
  </si>
  <si>
    <t>LED100002</t>
  </si>
  <si>
    <t>dc44e071-399f-4ec2-b6ec-64f9e8a05a8a</t>
  </si>
  <si>
    <t>LED100003</t>
  </si>
  <si>
    <t>0adc1ed0-4809-462d-855c-84cda5593c80</t>
  </si>
  <si>
    <t>LED100004</t>
  </si>
  <si>
    <t>5188810</t>
  </si>
  <si>
    <t>1a018d91-db8a-416d-b49f-d03a84bc5c7b</t>
  </si>
  <si>
    <t>LED100005</t>
  </si>
  <si>
    <t>ATM</t>
  </si>
  <si>
    <t>ATM WITHDRAWAL</t>
  </si>
  <si>
    <t>33bd1687-6ab2-43c5-be5f-d150f412834c</t>
  </si>
  <si>
    <t>LED100006</t>
  </si>
  <si>
    <t>UPI/3234</t>
  </si>
  <si>
    <t>UPI PAYMENT/3234</t>
  </si>
  <si>
    <t>b87c4941-ad5b-41b7-9cda-4956a05a042e</t>
  </si>
  <si>
    <t>LED100007</t>
  </si>
  <si>
    <t>8bba53c3-7a35-40d6-a38c-fc142c432455</t>
  </si>
  <si>
    <t>LED100008</t>
  </si>
  <si>
    <t>UPI/32345</t>
  </si>
  <si>
    <t>UPI PAYMENT/32345</t>
  </si>
  <si>
    <t>fd9c35d1-b32c-40f2-9e3e-0ddfe1d24cad</t>
  </si>
  <si>
    <t>LED100009</t>
  </si>
  <si>
    <t>UPI/3235</t>
  </si>
  <si>
    <t>UPI PAYMENT/3235</t>
  </si>
  <si>
    <t>d2407a2c-15f3-46c2-b658-f9b66de3b6fd</t>
  </si>
  <si>
    <t>LED100010</t>
  </si>
  <si>
    <t>UPI/ent</t>
  </si>
  <si>
    <t>UPI PAYMENT/ENT</t>
  </si>
  <si>
    <t>b347d492-3798-4af9-b684-b136ecc2163e</t>
  </si>
  <si>
    <t>LED100011</t>
  </si>
  <si>
    <t>UPI/3236</t>
  </si>
  <si>
    <t>UPI PAYMENT/3236</t>
  </si>
  <si>
    <t>2502b83f-52a0-459a-acc2-058856a6025f</t>
  </si>
  <si>
    <t>LED100012</t>
  </si>
  <si>
    <t>ef7cdb44-66aa-4523-bafb-bc36528ffb08</t>
  </si>
  <si>
    <t>LED100013</t>
  </si>
  <si>
    <t>cb0dda74-4491-4005-9038-5d4d2d3d8f69</t>
  </si>
  <si>
    <t>LED100014</t>
  </si>
  <si>
    <t>504ea1a4-880a-4336-be91-722f93d03d76</t>
  </si>
  <si>
    <t>LED100015</t>
  </si>
  <si>
    <t>72b8aab6-5ec1-4204-9c6c-703251f82cae</t>
  </si>
  <si>
    <t>LED100016</t>
  </si>
  <si>
    <t>UPI/BHARATPE6</t>
  </si>
  <si>
    <t>UPI PAYMENT/BHARATPE6</t>
  </si>
  <si>
    <t>ecc76954-7c8f-4fc0-9e51-6fa35a1b4cac</t>
  </si>
  <si>
    <t>LED100017</t>
  </si>
  <si>
    <t>d26c20ba-4ed1-4ea0-81b0-d864d6905ce6</t>
  </si>
  <si>
    <t>LED100018</t>
  </si>
  <si>
    <t>UPI/3237</t>
  </si>
  <si>
    <t>UPI PAYMENT/3237</t>
  </si>
  <si>
    <t>4d14d160-484b-4f1d-822a-106f7e4d6cd0</t>
  </si>
  <si>
    <t>LED100019</t>
  </si>
  <si>
    <t>UPI/32372</t>
  </si>
  <si>
    <t>UPI PAYMENT/32372</t>
  </si>
  <si>
    <t>2395c8a5-2d7b-45ff-8279-07160dc2b24f</t>
  </si>
  <si>
    <t>LED100020</t>
  </si>
  <si>
    <t>UPI/BHARATPE</t>
  </si>
  <si>
    <t>UPI PAYMENT/BHARATPE</t>
  </si>
  <si>
    <t>60867cfd-705b-44ba-9183-9fd57069d79b</t>
  </si>
  <si>
    <t>LED100021</t>
  </si>
  <si>
    <t>UPI/36035</t>
  </si>
  <si>
    <t>UPI PAYMENT/36035</t>
  </si>
  <si>
    <t>9760f363-bad8-44f4-99cb-8d9c97dccc4c</t>
  </si>
  <si>
    <t>LED100022</t>
  </si>
  <si>
    <t>IMPS</t>
  </si>
  <si>
    <t>IMPS PAYMENT</t>
  </si>
  <si>
    <t>Potential Match</t>
  </si>
  <si>
    <t>Amount + type match with description similarity 100%</t>
  </si>
  <si>
    <t>Medium</t>
  </si>
  <si>
    <t>b128ae36-e103-40fb-b402-dda22c0540a0</t>
  </si>
  <si>
    <t>LED100023</t>
  </si>
  <si>
    <t>UPI/PAYTM</t>
  </si>
  <si>
    <t>UPI PAYMENT/PAYTM</t>
  </si>
  <si>
    <t>b224b31a-93e8-4726-9853-e355c677a612</t>
  </si>
  <si>
    <t>LED100024</t>
  </si>
  <si>
    <t>UPI/32375</t>
  </si>
  <si>
    <t>UPI PAYMENT/32375</t>
  </si>
  <si>
    <t>24f677df-0d22-4ee9-a72e-228f9898062b</t>
  </si>
  <si>
    <t>LED100025</t>
  </si>
  <si>
    <t>UPI/32378/goog-payment</t>
  </si>
  <si>
    <t>UPI PAYMENT/32378/GOOG-PAYMENT</t>
  </si>
  <si>
    <t>a25eeba0-6e08-45cb-9eb3-5583b6f9ec58</t>
  </si>
  <si>
    <t>LED100026</t>
  </si>
  <si>
    <t>NEFT</t>
  </si>
  <si>
    <t>NEFT PAYMENT</t>
  </si>
  <si>
    <t>Exact reference + amount + date + type</t>
  </si>
  <si>
    <t>71bdd916-a4ad-4d30-9a0f-796611e2724f</t>
  </si>
  <si>
    <t>LED100027</t>
  </si>
  <si>
    <t>f36f9696-82f7-47b1-9290-75cd13d701ac</t>
  </si>
  <si>
    <t>LED100028</t>
  </si>
  <si>
    <t>UPI/3603</t>
  </si>
  <si>
    <t>UPI PAYMENT/3603</t>
  </si>
  <si>
    <t>c2ca6026-dd22-490f-8e8e-6bb1d033ec58</t>
  </si>
  <si>
    <t>LED100029</t>
  </si>
  <si>
    <t>dec347ca-1df8-4834-bf12-a7ec81d4faeb</t>
  </si>
  <si>
    <t>LED100030</t>
  </si>
  <si>
    <t>676db4e7-86c0-42e5-87f7-991d729ebd66</t>
  </si>
  <si>
    <t>LED100031</t>
  </si>
  <si>
    <t>UPI/3238</t>
  </si>
  <si>
    <t>UPI PAYMENT/3238</t>
  </si>
  <si>
    <t>ce354233-4a2f-499b-86f4-cc9ad4c0ccb7</t>
  </si>
  <si>
    <t>LED100032</t>
  </si>
  <si>
    <t>UPI/32382</t>
  </si>
  <si>
    <t>UPI PAYMENT/32382</t>
  </si>
  <si>
    <t>e47c0f6b-669c-4846-a4e1-a9c1abb74a49</t>
  </si>
  <si>
    <t>LED100033</t>
  </si>
  <si>
    <t>UPI/32384</t>
  </si>
  <si>
    <t>UPI PAYMENT/32384</t>
  </si>
  <si>
    <t>9da292b1-e6ff-4aec-ba17-1e9596be288d</t>
  </si>
  <si>
    <t>LED100034</t>
  </si>
  <si>
    <t>622a4877-d66b-4659-95f2-c834bc437044</t>
  </si>
  <si>
    <t>LED100035</t>
  </si>
  <si>
    <t>7c0b0fd3-5719-4c8f-be35-9a1eb624c282</t>
  </si>
  <si>
    <t>LED100036</t>
  </si>
  <si>
    <t>UPI/32394</t>
  </si>
  <si>
    <t>UPI PAYMENT/32394</t>
  </si>
  <si>
    <t>016a5f57-2be1-4c57-a806-9076e198a71f</t>
  </si>
  <si>
    <t>LED100037</t>
  </si>
  <si>
    <t>UPI/3239</t>
  </si>
  <si>
    <t>UPI PAYMENT/3239</t>
  </si>
  <si>
    <t>345f0d46-25ad-497a-85d7-9047543df60e</t>
  </si>
  <si>
    <t>LED100038</t>
  </si>
  <si>
    <t>UPI/32390/</t>
  </si>
  <si>
    <t>UPI PAYMENT/32390/</t>
  </si>
  <si>
    <t>e1f0ba13-39fa-4fa9-bcb1-47aab5a5e746</t>
  </si>
  <si>
    <t>LED100039</t>
  </si>
  <si>
    <t>6de89130-04ff-44c2-8801-88fca93609a9</t>
  </si>
  <si>
    <t>LED100040</t>
  </si>
  <si>
    <t>AMZN</t>
  </si>
  <si>
    <t>febe3439-44d2-4ab8-a972-cdb1f72e43aa</t>
  </si>
  <si>
    <t>LED100041</t>
  </si>
  <si>
    <t>UPI/3241</t>
  </si>
  <si>
    <t>UPI PAYMENT/3241</t>
  </si>
  <si>
    <t>d2987357-92f2-4c9e-99a6-7692e931be22</t>
  </si>
  <si>
    <t>LED100042</t>
  </si>
  <si>
    <t>c2aa2280-77b1-4f14-a157-de477ec6b924</t>
  </si>
  <si>
    <t/>
  </si>
  <si>
    <t>Unmatched Bank Transaction</t>
  </si>
  <si>
    <t>No suitable ledger transaction found</t>
  </si>
  <si>
    <t>Low</t>
  </si>
  <si>
    <t>ad797524-235c-4edb-b939-47647c17558c</t>
  </si>
  <si>
    <t>LED100044</t>
  </si>
  <si>
    <t>UPI/JIOINAPPDIRECT/</t>
  </si>
  <si>
    <t>UPI PAYMENT/JIOINAPPDIRECT/</t>
  </si>
  <si>
    <t>0494c9e3-ee71-4d31-b923-e723a1df44c3</t>
  </si>
  <si>
    <t>LED100045</t>
  </si>
  <si>
    <t>3fd5bdaf-a0ec-4108-8f31-b39d54ba740d</t>
  </si>
  <si>
    <t>LED100046</t>
  </si>
  <si>
    <t>6ad58ee6-705a-4a71-8e43-c7ed1e88088f</t>
  </si>
  <si>
    <t>LED100047</t>
  </si>
  <si>
    <t>c722d3c1-53df-4e6d-bc90-f14dbb97376b</t>
  </si>
  <si>
    <t>LED100048</t>
  </si>
  <si>
    <t>c75c6d29-5934-42c3-bbda-dfc773f0100a</t>
  </si>
  <si>
    <t>LED100049</t>
  </si>
  <si>
    <t>UPI/PAYTMNA</t>
  </si>
  <si>
    <t>UPI PAYMENT/PAYTMNA</t>
  </si>
  <si>
    <t>794a682b-5b7a-4444-bd6a-5a3db9f9f1a3</t>
  </si>
  <si>
    <t>LED100050</t>
  </si>
  <si>
    <t>UPI/3609</t>
  </si>
  <si>
    <t>UPI PAYMENT/3609</t>
  </si>
  <si>
    <t>7a6487f4-2008-4358-a761-2bd30994ae38</t>
  </si>
  <si>
    <t>LED100051</t>
  </si>
  <si>
    <t>7a9c2faa-5032-42bb-9987-38cf36e1335b</t>
  </si>
  <si>
    <t>LED100052</t>
  </si>
  <si>
    <t>UPI/32445</t>
  </si>
  <si>
    <t>UPI PAYMENT/32445</t>
  </si>
  <si>
    <t>5ccc1be2-fbfb-4f60-9a87-17ee0b25c621</t>
  </si>
  <si>
    <t>LED100053</t>
  </si>
  <si>
    <t>UPI/3612</t>
  </si>
  <si>
    <t>UPI PAYMENT/3612</t>
  </si>
  <si>
    <t>8a98421e-6026-4147-a99b-1335649ebb75</t>
  </si>
  <si>
    <t>LED100054</t>
  </si>
  <si>
    <t>UPI/32479</t>
  </si>
  <si>
    <t>UPI PAYMENT/32479</t>
  </si>
  <si>
    <t>b0bfec92-0fee-4c83-aa63-ec56255fa8ca</t>
  </si>
  <si>
    <t>LED100055</t>
  </si>
  <si>
    <t>UPI/3613</t>
  </si>
  <si>
    <t>UPI PAYMENT/3613</t>
  </si>
  <si>
    <t>7aab002f-a9d3-4600-840b-78a381e69fdd</t>
  </si>
  <si>
    <t>LED100056</t>
  </si>
  <si>
    <t>e6e88a6e-1bbf-4d10-8efc-7c38d81db891</t>
  </si>
  <si>
    <t>LED100057</t>
  </si>
  <si>
    <t>UPI/3248</t>
  </si>
  <si>
    <t>UPI PAYMENT/3248</t>
  </si>
  <si>
    <t>8efc053e-df71-45cc-a9ce-0cea8d9d166e</t>
  </si>
  <si>
    <t>LED100058</t>
  </si>
  <si>
    <t>26212eac-72f0-4da8-943d-9e94599b1168</t>
  </si>
  <si>
    <t>LED100059</t>
  </si>
  <si>
    <t>UPI/PAYTMPa</t>
  </si>
  <si>
    <t>UPI PAYMENT/PAYTMPA</t>
  </si>
  <si>
    <t>43423182-430e-4210-bf86-1093bde2c9a4</t>
  </si>
  <si>
    <t>LED100060</t>
  </si>
  <si>
    <t>e12cba6a-8238-4de8-af95-0afacd47ef30</t>
  </si>
  <si>
    <t>LED100061</t>
  </si>
  <si>
    <t>Yes</t>
  </si>
  <si>
    <t>Duplicate candidate detected</t>
  </si>
  <si>
    <t>2d629427-5abd-4cfa-9729-ec2f575c9c3f</t>
  </si>
  <si>
    <t>LED100062</t>
  </si>
  <si>
    <t>976f05f5-b0b1-4525-a5bd-c57fd63b6302</t>
  </si>
  <si>
    <t>LED100063</t>
  </si>
  <si>
    <t>5792cc25-83fd-4513-a760-9d0e0be64897</t>
  </si>
  <si>
    <t>LED100064</t>
  </si>
  <si>
    <t>aa9e7078-1396-4bc4-b021-2801520dd0ae</t>
  </si>
  <si>
    <t>LED100065</t>
  </si>
  <si>
    <t>UPI/3252</t>
  </si>
  <si>
    <t>UPI PAYMENT/3252</t>
  </si>
  <si>
    <t>2256bb31-80eb-40ef-a8b3-b614aeef95ae</t>
  </si>
  <si>
    <t>LED100066</t>
  </si>
  <si>
    <t>UPI/3618</t>
  </si>
  <si>
    <t>UPI PAYMENT/3618</t>
  </si>
  <si>
    <t>Timing Difference</t>
  </si>
  <si>
    <t>Amount + type match, date difference 2 day(s), description similarity 100%</t>
  </si>
  <si>
    <t>9133c24e-a12b-453c-b398-890e035a50b6</t>
  </si>
  <si>
    <t>LED100067</t>
  </si>
  <si>
    <t>320083ed-ac9d-445f-95ab-665823b66121</t>
  </si>
  <si>
    <t>LED100068</t>
  </si>
  <si>
    <t>UPI/3620</t>
  </si>
  <si>
    <t>UPI PAYMENT/3620</t>
  </si>
  <si>
    <t>b03f18f8-dbdb-4a9e-9999-f615aaa23a4b</t>
  </si>
  <si>
    <t>LED100069</t>
  </si>
  <si>
    <t>31a91be1-0573-4fbe-b399-7ae1d0e177da</t>
  </si>
  <si>
    <t>LED100070</t>
  </si>
  <si>
    <t>c60fc4d6-f73d-4855-a843-69156836af12</t>
  </si>
  <si>
    <t>LED100071</t>
  </si>
  <si>
    <t>UPI/36211</t>
  </si>
  <si>
    <t>UPI PAYMENT/36211</t>
  </si>
  <si>
    <t>8d3e0628-618e-499c-8c59-616a95f426d1</t>
  </si>
  <si>
    <t>LED100072</t>
  </si>
  <si>
    <t>eab45d40-7e21-4933-b007-9170e9e35109</t>
  </si>
  <si>
    <t>LED100073</t>
  </si>
  <si>
    <t>90d21217-2010-422c-80fc-2806ea02407b</t>
  </si>
  <si>
    <t>LED100074</t>
  </si>
  <si>
    <t>UPI/36222</t>
  </si>
  <si>
    <t>UPI PAYMENT/36222</t>
  </si>
  <si>
    <t>75571385-d68d-4bc4-aae6-3a2e4d84d1e5</t>
  </si>
  <si>
    <t>LED100075</t>
  </si>
  <si>
    <t>01e0f3d1-366b-4344-bf11-f37c0cae061b</t>
  </si>
  <si>
    <t>LED100076</t>
  </si>
  <si>
    <t>UPI/32578</t>
  </si>
  <si>
    <t>UPI PAYMENT/32578</t>
  </si>
  <si>
    <t>Amount + type match, date difference 1 day(s), description similarity 100%</t>
  </si>
  <si>
    <t>3f7d6337-5760-42e8-9650-82b7e4e6f25b</t>
  </si>
  <si>
    <t>LED100077</t>
  </si>
  <si>
    <t>UPI/32571</t>
  </si>
  <si>
    <t>UPI PAYMENT/32571</t>
  </si>
  <si>
    <t>7fa3f516-0a76-4a58-b66a-6e1297567084</t>
  </si>
  <si>
    <t>LED100078</t>
  </si>
  <si>
    <t>9e361023-1600-47b8-929b-fd49f7d7bf22</t>
  </si>
  <si>
    <t>LED100079</t>
  </si>
  <si>
    <t>c61166ba-7899-4754-b839-36bbcf99df14</t>
  </si>
  <si>
    <t>LED100080</t>
  </si>
  <si>
    <t>UPI/32576</t>
  </si>
  <si>
    <t>UPI PAYMENT/32576</t>
  </si>
  <si>
    <t>Amount Mismatch</t>
  </si>
  <si>
    <t>Description similarity 100% but amount differs by ₹2.50</t>
  </si>
  <si>
    <t>9348033e-2c15-48d5-9d47-1e15b83a512a</t>
  </si>
  <si>
    <t>LED100081</t>
  </si>
  <si>
    <t>226c7c1a-4046-463e-92ea-6f6c8b600273</t>
  </si>
  <si>
    <t>LED100082</t>
  </si>
  <si>
    <t>UPI/32581</t>
  </si>
  <si>
    <t>UPI PAYMENT/32581</t>
  </si>
  <si>
    <t>f8e21723-b480-4813-a062-12bd1ddf6c9d</t>
  </si>
  <si>
    <t>LED100083</t>
  </si>
  <si>
    <t>1b3eda6c-a8f4-485a-8824-76b4eda8bf75</t>
  </si>
  <si>
    <t>LED100084</t>
  </si>
  <si>
    <t>6288f745-bfc9-49c9-9144-8f763cbc7303</t>
  </si>
  <si>
    <t>LED100085</t>
  </si>
  <si>
    <t>UPI/36250</t>
  </si>
  <si>
    <t>UPI PAYMENT/36250</t>
  </si>
  <si>
    <t>228d0c69-549c-4b66-bda9-26a88fa16cdb</t>
  </si>
  <si>
    <t>LED100086</t>
  </si>
  <si>
    <t>UPI/3626</t>
  </si>
  <si>
    <t>UPI PAYMENT/3626</t>
  </si>
  <si>
    <t>6cf8961e-f2dc-471d-8c7f-a12d443be002</t>
  </si>
  <si>
    <t>LED100087</t>
  </si>
  <si>
    <t>UPI/JIOINAPPDIRECT</t>
  </si>
  <si>
    <t>UPI PAYMENT/JIOINAPPDIRECT</t>
  </si>
  <si>
    <t>80da729f-1f76-41be-a745-097cac244ef9</t>
  </si>
  <si>
    <t>LED100088</t>
  </si>
  <si>
    <t>UPI/PAYTM101</t>
  </si>
  <si>
    <t>UPI PAYMENT/PAYTM101</t>
  </si>
  <si>
    <t>ca275aff-4c7c-415b-9f18-962dc7a2df69</t>
  </si>
  <si>
    <t>LED100089</t>
  </si>
  <si>
    <t>e6f497b6-446b-4f2b-8163-987ef32aae05</t>
  </si>
  <si>
    <t>LED100090</t>
  </si>
  <si>
    <t>156b0720-ad19-4d54-a8da-446c44c447df</t>
  </si>
  <si>
    <t>LED100091</t>
  </si>
  <si>
    <t>UPI/36298/</t>
  </si>
  <si>
    <t>UPI PAYMENT/36298/</t>
  </si>
  <si>
    <t>4ac8f887-a601-4f56-be2b-5cc1ca6c6965</t>
  </si>
  <si>
    <t>LED100092</t>
  </si>
  <si>
    <t>de00042e-b507-489e-8862-6efbf98e619c</t>
  </si>
  <si>
    <t>LED100093</t>
  </si>
  <si>
    <t>8da5dea7-f101-4ad0-b139-414837511c68</t>
  </si>
  <si>
    <t>LED100094</t>
  </si>
  <si>
    <t>dedecd53-f40c-4124-901b-0b400fc9758f</t>
  </si>
  <si>
    <t>LED100095</t>
  </si>
  <si>
    <t>UPI/3630</t>
  </si>
  <si>
    <t>UPI PAYMENT/3630</t>
  </si>
  <si>
    <t>97619cf6-f40f-4c05-9766-48c2a2860ee4</t>
  </si>
  <si>
    <t>LED100096</t>
  </si>
  <si>
    <t>UPI/3264</t>
  </si>
  <si>
    <t>UPI PAYMENT/3264</t>
  </si>
  <si>
    <t>6d0349bd-1c9d-4717-9fe6-db9372baa936</t>
  </si>
  <si>
    <t>LED100097</t>
  </si>
  <si>
    <t>b6ff1b3f-979c-4fdd-8f5a-bbb1df4be12d</t>
  </si>
  <si>
    <t>LED100098</t>
  </si>
  <si>
    <t>UPI/32655</t>
  </si>
  <si>
    <t>UPI PAYMENT/32655</t>
  </si>
  <si>
    <t>f51d2d6c-6fd9-4e14-b0e3-b73a0bbcb5cd</t>
  </si>
  <si>
    <t>LED100099</t>
  </si>
  <si>
    <t>UPI/36311</t>
  </si>
  <si>
    <t>UPI PAYMENT/36311</t>
  </si>
  <si>
    <t>3df016c3-4a26-4786-94de-8eb634982994</t>
  </si>
  <si>
    <t>LED100100</t>
  </si>
  <si>
    <t>UPI/32659</t>
  </si>
  <si>
    <t>UPI PAYMENT/32659</t>
  </si>
  <si>
    <t>5230c540-d846-4481-af4b-259a9b4d26af</t>
  </si>
  <si>
    <t>LED100101</t>
  </si>
  <si>
    <t>UPI/32654</t>
  </si>
  <si>
    <t>UPI PAYMENT/32654</t>
  </si>
  <si>
    <t>ee1b82e0-c0ef-4b0b-8890-2c9a0e5f72e9</t>
  </si>
  <si>
    <t>LED100102</t>
  </si>
  <si>
    <t>8eaa3e76-c910-47ef-9378-46e8ef464a35</t>
  </si>
  <si>
    <t>LED100103</t>
  </si>
  <si>
    <t>2e857865-defd-4882-9637-148669d40b3e</t>
  </si>
  <si>
    <t>LED100104</t>
  </si>
  <si>
    <t>UPI/36318</t>
  </si>
  <si>
    <t>UPI PAYMENT/36318</t>
  </si>
  <si>
    <t>3ee3466b-ac57-4f9f-956b-a35f5d55e4b4</t>
  </si>
  <si>
    <t>LED100105</t>
  </si>
  <si>
    <t>71348f87-281d-4dac-815e-7c749f39106b</t>
  </si>
  <si>
    <t>LED100106</t>
  </si>
  <si>
    <t>UPI/GPAY</t>
  </si>
  <si>
    <t>UPI PAYMENT/GPAY</t>
  </si>
  <si>
    <t>0f13a626-bb42-4663-9043-403951ed5cbb</t>
  </si>
  <si>
    <t>LED100107</t>
  </si>
  <si>
    <t>74c43a11-f14e-4c0b-9a12-6ff003603c9d</t>
  </si>
  <si>
    <t>LED100108</t>
  </si>
  <si>
    <t>3260756f-954a-47b3-b46f-2c338f7f8b0a</t>
  </si>
  <si>
    <t>LED100109</t>
  </si>
  <si>
    <t>7d0dd7c6-8a00-4436-9823-009cd57b4d0e</t>
  </si>
  <si>
    <t>LED100110</t>
  </si>
  <si>
    <t>802bb8ed-6cbd-4e2e-be90-09aef4da6794</t>
  </si>
  <si>
    <t>LED100111</t>
  </si>
  <si>
    <t>9125f055-f355-4d8d-9ac6-d9bb065ee25a</t>
  </si>
  <si>
    <t>LED100112</t>
  </si>
  <si>
    <t>UPI/3268</t>
  </si>
  <si>
    <t>UPI PAYMENT/3268</t>
  </si>
  <si>
    <t>90c6e54f-6249-426a-9423-598892687d55</t>
  </si>
  <si>
    <t>LED100113</t>
  </si>
  <si>
    <t>UPI/PAYTMep</t>
  </si>
  <si>
    <t>UPI PAYMENT/PAYTMEP</t>
  </si>
  <si>
    <t>f26df49f-0847-4da1-a06a-1f52e3b4fa9b</t>
  </si>
  <si>
    <t>LED100114</t>
  </si>
  <si>
    <t>UPI/36341</t>
  </si>
  <si>
    <t>UPI PAYMENT/36341</t>
  </si>
  <si>
    <t>8339b673-56e9-4517-aaf7-804da58d7ec4</t>
  </si>
  <si>
    <t>LED100115</t>
  </si>
  <si>
    <t>UPI/32691</t>
  </si>
  <si>
    <t>UPI PAYMENT/32691</t>
  </si>
  <si>
    <t>6834106a-a1db-421a-a030-05b47ec0b49e</t>
  </si>
  <si>
    <t>LED100116</t>
  </si>
  <si>
    <t>UPI/36352</t>
  </si>
  <si>
    <t>UPI PAYMENT/36352</t>
  </si>
  <si>
    <t>e4c9bdfc-0a18-4bc2-887b-f5d6449b7884</t>
  </si>
  <si>
    <t>LED100117</t>
  </si>
  <si>
    <t>UPI/36351</t>
  </si>
  <si>
    <t>UPI PAYMENT/36351</t>
  </si>
  <si>
    <t>380b58dc-3d3c-45b9-8acd-2b6f6822a954</t>
  </si>
  <si>
    <t>LED100118</t>
  </si>
  <si>
    <t>UPI/32695</t>
  </si>
  <si>
    <t>UPI PAYMENT/32695</t>
  </si>
  <si>
    <t>9209e2ff-aabe-4148-82c9-3cfbb07572a5</t>
  </si>
  <si>
    <t>LED100119</t>
  </si>
  <si>
    <t>c843b30d-cb22-42e1-8c58-05d59e9b6410</t>
  </si>
  <si>
    <t>LED100120</t>
  </si>
  <si>
    <t>UPI/3270</t>
  </si>
  <si>
    <t>UPI PAYMENT/3270</t>
  </si>
  <si>
    <t>Description similarity 100% but amount differs by ₹4.00</t>
  </si>
  <si>
    <t>a7d31245-0cc9-446f-875f-efbed9a75bb1</t>
  </si>
  <si>
    <t>LED100121</t>
  </si>
  <si>
    <t>UPI/32709</t>
  </si>
  <si>
    <t>UPI PAYMENT/32709</t>
  </si>
  <si>
    <t>bbf7e57c-5c39-4c78-8faf-7a77a79fbebc</t>
  </si>
  <si>
    <t>LED100122</t>
  </si>
  <si>
    <t>UPI/32706</t>
  </si>
  <si>
    <t>UPI PAYMENT/32706</t>
  </si>
  <si>
    <t>a5f0be0a-122f-4b43-8333-14233b1d8c42</t>
  </si>
  <si>
    <t>LED100123</t>
  </si>
  <si>
    <t>756010f4-f8f3-4c81-81b9-62c25e8609e0</t>
  </si>
  <si>
    <t>LED100124</t>
  </si>
  <si>
    <t>UPI/36367</t>
  </si>
  <si>
    <t>UPI PAYMENT/36367</t>
  </si>
  <si>
    <t>b2ba5a7b-b5da-4563-831e-5cf406d85c8c</t>
  </si>
  <si>
    <t>LED100125</t>
  </si>
  <si>
    <t>4b0f59fa-655b-4e30-9b83-f9514cf9b240</t>
  </si>
  <si>
    <t>LED100126</t>
  </si>
  <si>
    <t>UPI/32712</t>
  </si>
  <si>
    <t>UPI PAYMENT/32712</t>
  </si>
  <si>
    <t>3a4ff688-bef4-4aaf-8f45-61d0168ffc75</t>
  </si>
  <si>
    <t>LED100127</t>
  </si>
  <si>
    <t>UPI/36370</t>
  </si>
  <si>
    <t>UPI PAYMENT/36370</t>
  </si>
  <si>
    <t>d8b45c85-45b2-4b13-9879-66a00fa7af65</t>
  </si>
  <si>
    <t>LED100128</t>
  </si>
  <si>
    <t>fa919e43-a6a1-4c55-9985-6f8b97d681eb</t>
  </si>
  <si>
    <t>LED100129</t>
  </si>
  <si>
    <t>UPI/36381</t>
  </si>
  <si>
    <t>UPI PAYMENT/36381</t>
  </si>
  <si>
    <t>a100ec2b-95e6-40f8-a021-20b36afe2715</t>
  </si>
  <si>
    <t>LED100130</t>
  </si>
  <si>
    <t>c9f6c8e9-e5b1-49e7-8f8b-442ebca30aaf</t>
  </si>
  <si>
    <t>LED100131</t>
  </si>
  <si>
    <t>623990ca-7390-404b-82fa-5f10316863d2</t>
  </si>
  <si>
    <t>LED100132</t>
  </si>
  <si>
    <t>UPI/PAYTMap</t>
  </si>
  <si>
    <t>UPI PAYMENT/PAYTMAP</t>
  </si>
  <si>
    <t>f8c83f63-6b3c-48b7-907e-1c7569881a5a</t>
  </si>
  <si>
    <t>LED100133</t>
  </si>
  <si>
    <t>UPI/32738</t>
  </si>
  <si>
    <t>UPI PAYMENT/32738</t>
  </si>
  <si>
    <t>3e3f3ee0-8eaf-456e-a475-f4aff84fd8a7</t>
  </si>
  <si>
    <t>LED100134</t>
  </si>
  <si>
    <t>9b3a0f22-6e89-4356-a5c5-f173fe76ff23</t>
  </si>
  <si>
    <t>LED100135</t>
  </si>
  <si>
    <t>248af984-503d-4ca8-bd8f-00ba044859e7</t>
  </si>
  <si>
    <t>LED100136</t>
  </si>
  <si>
    <t>ace38436-f415-45f8-bb95-3679ff3e0d43</t>
  </si>
  <si>
    <t>LED100137</t>
  </si>
  <si>
    <t>f820697b-3dd8-4e9b-88ed-27639dd662c3</t>
  </si>
  <si>
    <t>LED100138</t>
  </si>
  <si>
    <t>UPI/36406</t>
  </si>
  <si>
    <t>UPI PAYMENT/36406</t>
  </si>
  <si>
    <t>ddcc8fa1-81c0-4d4b-8f71-180352bf97aa</t>
  </si>
  <si>
    <t>LED100139</t>
  </si>
  <si>
    <t>UPI/36408</t>
  </si>
  <si>
    <t>UPI PAYMENT/36408</t>
  </si>
  <si>
    <t>e3d156cc-dfbf-471b-b50c-75477e85847b</t>
  </si>
  <si>
    <t>LED100140</t>
  </si>
  <si>
    <t>edf8c5a8-b2d0-442d-bc16-8d739075ddaf</t>
  </si>
  <si>
    <t>LED100141</t>
  </si>
  <si>
    <t>7b4353e3-877e-4ae0-8437-22bb587225b4</t>
  </si>
  <si>
    <t>LED100142</t>
  </si>
  <si>
    <t>5f109549-800e-46e7-9455-e0a9b4865360</t>
  </si>
  <si>
    <t>LED100143</t>
  </si>
  <si>
    <t>UPI/PAYTM9p</t>
  </si>
  <si>
    <t>UPI PAYMENT/PAYTM9P</t>
  </si>
  <si>
    <t>31668b32-0d2d-4dea-aa92-6b8c31ee848e</t>
  </si>
  <si>
    <t>LED100144</t>
  </si>
  <si>
    <t>3108c01e-39f6-4c2f-a283-86db7439f95c</t>
  </si>
  <si>
    <t>LED100145</t>
  </si>
  <si>
    <t>0fce7629-1e60-4e18-a1b7-a8ca75f7f2f4</t>
  </si>
  <si>
    <t>LED100146</t>
  </si>
  <si>
    <t>UPI/36421</t>
  </si>
  <si>
    <t>UPI PAYMENT/36421</t>
  </si>
  <si>
    <t>76615252-dfaf-4102-8f5d-75bc54d8387b</t>
  </si>
  <si>
    <t>LED100147</t>
  </si>
  <si>
    <t>51dcb4d5-7bad-400c-8a1b-8e6b8a8f24af</t>
  </si>
  <si>
    <t>LED100148</t>
  </si>
  <si>
    <t>UPI/32770</t>
  </si>
  <si>
    <t>UPI PAYMENT/32770</t>
  </si>
  <si>
    <t>c22fc6ad-c242-4538-91f2-53ca13770c6e</t>
  </si>
  <si>
    <t>LED100149</t>
  </si>
  <si>
    <t>UPI/32775</t>
  </si>
  <si>
    <t>UPI PAYMENT/32775</t>
  </si>
  <si>
    <t>9c02e93a-0999-41cc-95e4-279994bb3364</t>
  </si>
  <si>
    <t>LED100150</t>
  </si>
  <si>
    <t>UPI/36435</t>
  </si>
  <si>
    <t>UPI PAYMENT/36435</t>
  </si>
  <si>
    <t>033d5608-e2b1-4858-b98b-99f3f9cf83d6</t>
  </si>
  <si>
    <t>LED100222</t>
  </si>
  <si>
    <t>Same amount + high description similarity 100% but date differs by 23 days</t>
  </si>
  <si>
    <t>8d61b7b8-6b32-47b2-ada2-1636ab6b0f56</t>
  </si>
  <si>
    <t>LED100152</t>
  </si>
  <si>
    <t>UPI/32789</t>
  </si>
  <si>
    <t>UPI PAYMENT/32789</t>
  </si>
  <si>
    <t>6b92418c-590d-42fd-abc0-fb5156683c35</t>
  </si>
  <si>
    <t>LED100153</t>
  </si>
  <si>
    <t>UPI/32783</t>
  </si>
  <si>
    <t>UPI PAYMENT/32783</t>
  </si>
  <si>
    <t>d3bc1598-5ded-4832-a6f9-069e5c28d7ac</t>
  </si>
  <si>
    <t>LED100154</t>
  </si>
  <si>
    <t>UPI/32784</t>
  </si>
  <si>
    <t>UPI PAYMENT/32784</t>
  </si>
  <si>
    <t>8e96f9b1-5fc7-489f-9566-35ac1f240252</t>
  </si>
  <si>
    <t>LED100155</t>
  </si>
  <si>
    <t>UPI/32795</t>
  </si>
  <si>
    <t>UPI PAYMENT/32795</t>
  </si>
  <si>
    <t>177a6ed6-5383-405b-b331-955da39f85c6</t>
  </si>
  <si>
    <t>LED100156</t>
  </si>
  <si>
    <t>39cad768-4f42-4879-9fa4-12f7d5f75fea</t>
  </si>
  <si>
    <t>LED100157</t>
  </si>
  <si>
    <t>UPI/36454</t>
  </si>
  <si>
    <t>UPI PAYMENT/36454</t>
  </si>
  <si>
    <t>8af09e5a-a98a-4a0a-9648-64d457d85070</t>
  </si>
  <si>
    <t>UPI/3645</t>
  </si>
  <si>
    <t>979fab68-939e-4b78-8f89-09c0dbb46472</t>
  </si>
  <si>
    <t>LED100159</t>
  </si>
  <si>
    <t>e30a976a-ef08-44a4-88c2-9105178a4999</t>
  </si>
  <si>
    <t>LED100160</t>
  </si>
  <si>
    <t>UPI/3279</t>
  </si>
  <si>
    <t>UPI PAYMENT/3279</t>
  </si>
  <si>
    <t>9f694e56-84bb-4322-86d1-048ed5d7b7b0</t>
  </si>
  <si>
    <t>LED100161</t>
  </si>
  <si>
    <t>UPI/36458</t>
  </si>
  <si>
    <t>UPI PAYMENT/36458</t>
  </si>
  <si>
    <t>d59218dd-56a8-4c04-b1b4-ac13349f5d81</t>
  </si>
  <si>
    <t>LED100162</t>
  </si>
  <si>
    <t>0cc87859-f3c0-4c5c-b51a-bfdd20a1433b</t>
  </si>
  <si>
    <t>LED100163</t>
  </si>
  <si>
    <t>UPI/GPAYBILLREACHARGE</t>
  </si>
  <si>
    <t>UPI PAYMENT/GPAYBILLREACHARGE</t>
  </si>
  <si>
    <t>d8aaf10a-4bd0-4389-812e-1b1588d811a4</t>
  </si>
  <si>
    <t>LED100164</t>
  </si>
  <si>
    <t>50052b56-dc7d-48e4-a9c6-3875ab1497d0</t>
  </si>
  <si>
    <t>LED100165</t>
  </si>
  <si>
    <t>UPI/36462</t>
  </si>
  <si>
    <t>UPI PAYMENT/36462</t>
  </si>
  <si>
    <t>1bd129a3-31f0-4a9c-b646-532f3decb10a</t>
  </si>
  <si>
    <t>LED100166</t>
  </si>
  <si>
    <t>UPI/32802</t>
  </si>
  <si>
    <t>UPI PAYMENT/32802</t>
  </si>
  <si>
    <t>1ae3ff28-9cdb-461b-921e-5137cbb992b8</t>
  </si>
  <si>
    <t>LED100167</t>
  </si>
  <si>
    <t>UPI/3647</t>
  </si>
  <si>
    <t>UPI PAYMENT/3647</t>
  </si>
  <si>
    <t>7c549684-4fc8-4b23-a781-d8f878d8ce29</t>
  </si>
  <si>
    <t>LED100168</t>
  </si>
  <si>
    <t>c59fa33b-8458-44ce-be05-d5944e2325c6</t>
  </si>
  <si>
    <t>LED100169</t>
  </si>
  <si>
    <t>b7b95690-4180-4dcc-90ae-b34aad750bbc</t>
  </si>
  <si>
    <t>LED100170</t>
  </si>
  <si>
    <t>UPI/36486</t>
  </si>
  <si>
    <t>UPI PAYMENT/36486</t>
  </si>
  <si>
    <t>74d0b7b2-cd18-4910-bcff-e515a3c704f5</t>
  </si>
  <si>
    <t>LED100171</t>
  </si>
  <si>
    <t>UPI/BHARATPE4</t>
  </si>
  <si>
    <t>UPI PAYMENT/BHARATPE4</t>
  </si>
  <si>
    <t>bb88f510-b541-44e1-87a4-069ea4c9f816</t>
  </si>
  <si>
    <t>LED100172</t>
  </si>
  <si>
    <t>UPI/3648</t>
  </si>
  <si>
    <t>UPI PAYMENT/3648</t>
  </si>
  <si>
    <t>601ec0cd-17de-4fe2-906c-9ec67ac87798</t>
  </si>
  <si>
    <t>LED100173</t>
  </si>
  <si>
    <t>f24446ac-dee7-4127-987f-14d106066704</t>
  </si>
  <si>
    <t>LED100174</t>
  </si>
  <si>
    <t>c96959bd-3737-4608-874d-112b99790eb0</t>
  </si>
  <si>
    <t>LED100175</t>
  </si>
  <si>
    <t>d5bdd359-5af3-40e1-a991-3e9346cdd63e</t>
  </si>
  <si>
    <t>LED100176</t>
  </si>
  <si>
    <t>UPI/36499</t>
  </si>
  <si>
    <t>UPI PAYMENT/36499</t>
  </si>
  <si>
    <t>6d174e80-c032-4336-9133-dc7ac9817170</t>
  </si>
  <si>
    <t>LED100177</t>
  </si>
  <si>
    <t>6d30b4ce-41a8-490f-90df-6ecb91f6b32a</t>
  </si>
  <si>
    <t>LED100178</t>
  </si>
  <si>
    <t>UPI/32841</t>
  </si>
  <si>
    <t>UPI PAYMENT/32841</t>
  </si>
  <si>
    <t>8078fdd5-2c46-4cae-8ee1-d51aa7f1e5f8</t>
  </si>
  <si>
    <t>LED100179</t>
  </si>
  <si>
    <t>2744f39f-7233-45ba-bcee-cc1da7ba8fe1</t>
  </si>
  <si>
    <t>LED100180</t>
  </si>
  <si>
    <t>UPI/3650</t>
  </si>
  <si>
    <t>UPI PAYMENT/3650</t>
  </si>
  <si>
    <t>65eddd32-8d66-4c4d-a947-2b358232f3cb</t>
  </si>
  <si>
    <t>LED100181</t>
  </si>
  <si>
    <t>cac58514-4078-4a90-84cc-de42811911eb</t>
  </si>
  <si>
    <t>LED100182</t>
  </si>
  <si>
    <t>UPI/36509</t>
  </si>
  <si>
    <t>UPI PAYMENT/36509</t>
  </si>
  <si>
    <t>e1f83744-7362-4c54-89ce-1691eca8ef60</t>
  </si>
  <si>
    <t>LED100183</t>
  </si>
  <si>
    <t>809ea0c8-6adc-4383-bd99-7dbb099af5da</t>
  </si>
  <si>
    <t>LED100184</t>
  </si>
  <si>
    <t>UPI/3285</t>
  </si>
  <si>
    <t>UPI PAYMENT/3285</t>
  </si>
  <si>
    <t>bce416a1-2b74-4d3f-b4c8-c9ae537fa9a1</t>
  </si>
  <si>
    <t>LED100185</t>
  </si>
  <si>
    <t>20393504-68b3-4b3f-9e1f-155fd831cebb</t>
  </si>
  <si>
    <t>LED100186</t>
  </si>
  <si>
    <t>UPI/36530</t>
  </si>
  <si>
    <t>UPI PAYMENT/36530</t>
  </si>
  <si>
    <t>699002e0-2d99-4493-baab-97c17fdf2e75</t>
  </si>
  <si>
    <t>LED100191</t>
  </si>
  <si>
    <t>Description similarity 100% but amount differs by ₹490.00</t>
  </si>
  <si>
    <t>558d36f0-3e16-4507-92b7-50e77e0d9a55</t>
  </si>
  <si>
    <t>LED100188</t>
  </si>
  <si>
    <t>7c8a8442-bf95-44d2-a3ee-d4e4eb117c1f</t>
  </si>
  <si>
    <t>LED100189</t>
  </si>
  <si>
    <t>UPI/32880</t>
  </si>
  <si>
    <t>UPI PAYMENT/32880</t>
  </si>
  <si>
    <t>4ff90fe0-c39d-4f1a-bda7-487800f1945e</t>
  </si>
  <si>
    <t>LED100190</t>
  </si>
  <si>
    <t>UPI/32883</t>
  </si>
  <si>
    <t>UPI PAYMENT/32883</t>
  </si>
  <si>
    <t>dc0ee0f8-829f-44f6-a5f5-6bd0ac36c81b</t>
  </si>
  <si>
    <t>LED100893</t>
  </si>
  <si>
    <t>Description similarity 100% but amount differs by ₹10.00</t>
  </si>
  <si>
    <t>9cba4c27-7f9b-4a22-af17-67d5e193766f</t>
  </si>
  <si>
    <t>LED100192</t>
  </si>
  <si>
    <t>UPI/PAYTMdp</t>
  </si>
  <si>
    <t>UPI PAYMENT/PAYTMDP</t>
  </si>
  <si>
    <t>509f6222-7a2b-45a3-b813-e97da77b66fc</t>
  </si>
  <si>
    <t>LED100193</t>
  </si>
  <si>
    <t>546f9c7a-6f58-40b0-9560-aca41605644d</t>
  </si>
  <si>
    <t>LED100194</t>
  </si>
  <si>
    <t>UPI/3289</t>
  </si>
  <si>
    <t>UPI PAYMENT/3289</t>
  </si>
  <si>
    <t>8b021c7e-13a1-4b6c-b757-dc5a3dde97ec</t>
  </si>
  <si>
    <t>LED100195</t>
  </si>
  <si>
    <t>d398a84c-b552-4023-9d8d-78af1b66d578</t>
  </si>
  <si>
    <t>LED100196</t>
  </si>
  <si>
    <t>eb8c18e6-2871-446f-b7ea-dc8120b38fd7</t>
  </si>
  <si>
    <t>LED100197</t>
  </si>
  <si>
    <t>9603956b-ea80-4bce-b673-e19476398b45</t>
  </si>
  <si>
    <t>LED100198</t>
  </si>
  <si>
    <t>UPI/32925</t>
  </si>
  <si>
    <t>UPI PAYMENT/32925</t>
  </si>
  <si>
    <t>f5a83366-1dd6-4bd3-8f15-10cf41f7310b</t>
  </si>
  <si>
    <t>LED100199</t>
  </si>
  <si>
    <t>UPI/32924</t>
  </si>
  <si>
    <t>UPI PAYMENT/32924</t>
  </si>
  <si>
    <t>0531c7aa-c1f2-414c-b136-fde68604ed61</t>
  </si>
  <si>
    <t>LED100200</t>
  </si>
  <si>
    <t>UPI/32931/</t>
  </si>
  <si>
    <t>UPI PAYMENT/32931/</t>
  </si>
  <si>
    <t>5c3b7e44-bf67-4d51-85ab-6894e2e9cde7</t>
  </si>
  <si>
    <t>LED100201</t>
  </si>
  <si>
    <t>UPI/36597</t>
  </si>
  <si>
    <t>UPI PAYMENT/36597</t>
  </si>
  <si>
    <t>9aa8a7f5-4019-44be-a141-c712b1b8b334</t>
  </si>
  <si>
    <t>LED100202</t>
  </si>
  <si>
    <t>fae0feb2-23d0-43c7-a0a4-f35a4d3b6497</t>
  </si>
  <si>
    <t>LED100203</t>
  </si>
  <si>
    <t>c097d89b-b2cf-4774-8309-4aaf893f1350</t>
  </si>
  <si>
    <t>LED100204</t>
  </si>
  <si>
    <t>UPI/36606</t>
  </si>
  <si>
    <t>UPI PAYMENT/36606</t>
  </si>
  <si>
    <t>359cbf7a-158a-4376-b7d1-bd9d5d529761</t>
  </si>
  <si>
    <t>LED100205</t>
  </si>
  <si>
    <t>UPI/36613</t>
  </si>
  <si>
    <t>UPI PAYMENT/36613</t>
  </si>
  <si>
    <t>d74640f5-bb06-4f9b-b21b-bce32d862fa4</t>
  </si>
  <si>
    <t>LED100206</t>
  </si>
  <si>
    <t>UPI/32958</t>
  </si>
  <si>
    <t>UPI PAYMENT/32958</t>
  </si>
  <si>
    <t>e3dd02e3-2294-4620-8d6c-3c95db04a5e4</t>
  </si>
  <si>
    <t>LED100207</t>
  </si>
  <si>
    <t>5a663c28-a8fd-4077-9a65-48f682bb09e8</t>
  </si>
  <si>
    <t>LED100208</t>
  </si>
  <si>
    <t>e5cb5574-6f29-4d02-b71a-55f792af3ddb</t>
  </si>
  <si>
    <t>LED100209</t>
  </si>
  <si>
    <t>UPI/3296</t>
  </si>
  <si>
    <t>UPI PAYMENT/3296</t>
  </si>
  <si>
    <t>9c95a744-1b6d-44a6-be6a-3b4afed32e7c</t>
  </si>
  <si>
    <t>LED100210</t>
  </si>
  <si>
    <t>49d3f474-c97e-4e36-b384-7014c001d5c7</t>
  </si>
  <si>
    <t>LED100211</t>
  </si>
  <si>
    <t>dfc6781b-58ff-4760-8291-04f0024601bd</t>
  </si>
  <si>
    <t>LED100212</t>
  </si>
  <si>
    <t>UPI/36636</t>
  </si>
  <si>
    <t>UPI PAYMENT/36636</t>
  </si>
  <si>
    <t>85b66477-4613-4666-9f2c-ae064034d79f</t>
  </si>
  <si>
    <t>LED100213</t>
  </si>
  <si>
    <t>UPI/32971</t>
  </si>
  <si>
    <t>UPI PAYMENT/32971</t>
  </si>
  <si>
    <t>9cdca0b6-cb0b-4d91-8a61-8170d770ea87</t>
  </si>
  <si>
    <t>LED100214</t>
  </si>
  <si>
    <t>16c81143-37e9-4b8e-9a48-0e39158f0861</t>
  </si>
  <si>
    <t>LED100215</t>
  </si>
  <si>
    <t>831c6f85-3e6d-4074-b1e5-4e4fe21b8cd4</t>
  </si>
  <si>
    <t>LED100568</t>
  </si>
  <si>
    <t>Same amount + high description similarity 100% but date differs by 122 days</t>
  </si>
  <si>
    <t>edfc5007-2c33-48bd-bdc0-5a6c8bc291c3</t>
  </si>
  <si>
    <t>LED100217</t>
  </si>
  <si>
    <t>UPI/32975</t>
  </si>
  <si>
    <t>UPI PAYMENT/32975</t>
  </si>
  <si>
    <t>a4bc2686-8db0-4dd6-bfc2-25961ac95b73</t>
  </si>
  <si>
    <t>LED100218</t>
  </si>
  <si>
    <t>ee894c06-f873-4f7b-a2c2-a5dac5c3964f</t>
  </si>
  <si>
    <t>LED100219</t>
  </si>
  <si>
    <t>UPI/36640/U</t>
  </si>
  <si>
    <t>UPI PAYMENT/36640/U</t>
  </si>
  <si>
    <t>8b680f57-f204-4e03-922f-9fd140fff54f</t>
  </si>
  <si>
    <t>LED100220</t>
  </si>
  <si>
    <t>1c439506-fc8d-45e5-ae81-7d0daab976fd</t>
  </si>
  <si>
    <t>LED100221</t>
  </si>
  <si>
    <t>UPI/36655</t>
  </si>
  <si>
    <t>UPI PAYMENT/36655</t>
  </si>
  <si>
    <t>884e791b-e8bf-45aa-a63a-561667ae14ba</t>
  </si>
  <si>
    <t>LED100224</t>
  </si>
  <si>
    <t>3bc9eb42-0bb0-4e3a-b035-b49f0a058b82</t>
  </si>
  <si>
    <t>LED100223</t>
  </si>
  <si>
    <t>UPI/EURONETGPAY</t>
  </si>
  <si>
    <t>UPI PAYMENT/EURONETGPAY</t>
  </si>
  <si>
    <t>7169dcf4-e9d8-4d10-910c-f39b4c1f93ae</t>
  </si>
  <si>
    <t>1c3be831-b1a6-4243-b2a7-da4c2fb6f345</t>
  </si>
  <si>
    <t>LED100225</t>
  </si>
  <si>
    <t>8b0ce824-2823-4351-b7a4-5289a71f8458</t>
  </si>
  <si>
    <t>LED100226</t>
  </si>
  <si>
    <t>UPI/36671</t>
  </si>
  <si>
    <t>UPI PAYMENT/36671</t>
  </si>
  <si>
    <t>0f0c4711-5d8c-46be-b8fd-f097ec067ca2</t>
  </si>
  <si>
    <t>LED100227</t>
  </si>
  <si>
    <t>8f29ee5f-6d09-4ffe-8b32-65a507519289</t>
  </si>
  <si>
    <t>LED100228</t>
  </si>
  <si>
    <t>UPI/33035</t>
  </si>
  <si>
    <t>UPI PAYMENT/33035</t>
  </si>
  <si>
    <t>f7a0a036-2ce3-4a7c-951d-2b6b9719b849</t>
  </si>
  <si>
    <t>LED100229</t>
  </si>
  <si>
    <t>UPI/3303</t>
  </si>
  <si>
    <t>UPI PAYMENT/3303</t>
  </si>
  <si>
    <t>1f52f45a-34af-4630-af73-0994db93492c</t>
  </si>
  <si>
    <t>LED100230</t>
  </si>
  <si>
    <t>bca2495e-7cce-432f-bdda-471b907ec613</t>
  </si>
  <si>
    <t>LED100231</t>
  </si>
  <si>
    <t>de44cd2d-0a16-4dbf-807a-b47d70c3c694</t>
  </si>
  <si>
    <t>LED100232</t>
  </si>
  <si>
    <t>UPI/36716</t>
  </si>
  <si>
    <t>UPI PAYMENT/36716</t>
  </si>
  <si>
    <t>6fa60611-61be-4564-a3c8-b47e98c91994</t>
  </si>
  <si>
    <t>LED100233</t>
  </si>
  <si>
    <t>db47a064-9201-49ba-97b2-6bf457a6941b</t>
  </si>
  <si>
    <t>LED100234</t>
  </si>
  <si>
    <t>UPI/33061</t>
  </si>
  <si>
    <t>UPI PAYMENT/33061</t>
  </si>
  <si>
    <t>c37b3623-e44d-418f-91bc-8816abd60877</t>
  </si>
  <si>
    <t>LED100235</t>
  </si>
  <si>
    <t>UPI/33060</t>
  </si>
  <si>
    <t>UPI PAYMENT/33060</t>
  </si>
  <si>
    <t>faab3b7e-102d-4fdf-95c3-9fbf354d8fa2</t>
  </si>
  <si>
    <t>LED100236</t>
  </si>
  <si>
    <t>UPI/PAYTMwp</t>
  </si>
  <si>
    <t>UPI PAYMENT/PAYTMWP</t>
  </si>
  <si>
    <t>f67d2304-8bd9-424e-a19a-51f108ce0cb7</t>
  </si>
  <si>
    <t>LED100237</t>
  </si>
  <si>
    <t>848b08b3-d77c-4edf-b994-e3a62b42ae96</t>
  </si>
  <si>
    <t>LED100238</t>
  </si>
  <si>
    <t>UPI/33078</t>
  </si>
  <si>
    <t>UPI PAYMENT/33078</t>
  </si>
  <si>
    <t>21966ea9-f6f5-4f1c-94c3-a4aebb56cdb6</t>
  </si>
  <si>
    <t>LED100239</t>
  </si>
  <si>
    <t>UPI/36746</t>
  </si>
  <si>
    <t>UPI PAYMENT/36746</t>
  </si>
  <si>
    <t>f2402973-d02a-48e8-a071-606321e13384</t>
  </si>
  <si>
    <t>LED100240</t>
  </si>
  <si>
    <t>UPI/BILLDESKRECHARGE</t>
  </si>
  <si>
    <t>UPI PAYMENT/BILLDESKRECHARGE</t>
  </si>
  <si>
    <t>21e97e5d-ea16-4110-a444-37f81fdf8430</t>
  </si>
  <si>
    <t>LED100241</t>
  </si>
  <si>
    <t>UPI/33095</t>
  </si>
  <si>
    <t>UPI PAYMENT/33095</t>
  </si>
  <si>
    <t>c39571d4-4945-4c65-8d20-7bca996636a4</t>
  </si>
  <si>
    <t>LED100242</t>
  </si>
  <si>
    <t>UPI/3310</t>
  </si>
  <si>
    <t>UPI PAYMENT/3310</t>
  </si>
  <si>
    <t>367ea7ac-a367-4b43-9200-1d8f355b175e</t>
  </si>
  <si>
    <t>LED100243</t>
  </si>
  <si>
    <t>UPI/36763</t>
  </si>
  <si>
    <t>UPI PAYMENT/36763</t>
  </si>
  <si>
    <t>6ed93c29-40da-4cef-b3d2-10f05dbfe25b</t>
  </si>
  <si>
    <t>LED100244</t>
  </si>
  <si>
    <t>UPI/36761</t>
  </si>
  <si>
    <t>UPI PAYMENT/36761</t>
  </si>
  <si>
    <t>4f4d0daf-5ad6-49d4-a7a6-1e00c8737e63</t>
  </si>
  <si>
    <t>LED100245</t>
  </si>
  <si>
    <t>3ef28929-ec15-42e9-b289-6184b2b41521</t>
  </si>
  <si>
    <t>LED100246</t>
  </si>
  <si>
    <t>UPI/33115</t>
  </si>
  <si>
    <t>UPI PAYMENT/33115</t>
  </si>
  <si>
    <t>4ef8759e-641f-4ded-8f4d-b3a7431c7c7b</t>
  </si>
  <si>
    <t>LED100247</t>
  </si>
  <si>
    <t>UPI/33113</t>
  </si>
  <si>
    <t>UPI PAYMENT/33113</t>
  </si>
  <si>
    <t>8a3ccbf2-08d2-48dc-b75d-022493b7426c</t>
  </si>
  <si>
    <t>LED100248</t>
  </si>
  <si>
    <t>UPI/36774</t>
  </si>
  <si>
    <t>UPI PAYMENT/36774</t>
  </si>
  <si>
    <t>9be68c05-3054-4202-95d5-0f9ededc5d16</t>
  </si>
  <si>
    <t>LED100249</t>
  </si>
  <si>
    <t>UPI/33112</t>
  </si>
  <si>
    <t>UPI PAYMENT/33112</t>
  </si>
  <si>
    <t>d4ecd289-3506-4423-a600-10a8c34bfde1</t>
  </si>
  <si>
    <t>LED100250</t>
  </si>
  <si>
    <t>d3935b54-131c-4c9d-9d0d-23f60439bb98</t>
  </si>
  <si>
    <t>LED100251</t>
  </si>
  <si>
    <t>UPI/3312</t>
  </si>
  <si>
    <t>UPI PAYMENT/3312</t>
  </si>
  <si>
    <t>633820ea-fcd9-449f-9457-9392cfb54d66</t>
  </si>
  <si>
    <t>LED100252</t>
  </si>
  <si>
    <t>518881000</t>
  </si>
  <si>
    <t>e85c9e1a-eaac-423f-b630-14e357842c98</t>
  </si>
  <si>
    <t>LED100253</t>
  </si>
  <si>
    <t>UPI/33128/</t>
  </si>
  <si>
    <t>UPI PAYMENT/33128/</t>
  </si>
  <si>
    <t>5c8f92f9-7d43-4615-946e-dfbc51236589</t>
  </si>
  <si>
    <t>LED100254</t>
  </si>
  <si>
    <t>7f58d530-1042-4167-ad0c-705c51e04571</t>
  </si>
  <si>
    <t>LED100255</t>
  </si>
  <si>
    <t>UPI/33131</t>
  </si>
  <si>
    <t>UPI PAYMENT/33131</t>
  </si>
  <si>
    <t>2b308e5b-4d37-4c5e-bab3-a4046bf82c74</t>
  </si>
  <si>
    <t>LED100256</t>
  </si>
  <si>
    <t>UPI/33138</t>
  </si>
  <si>
    <t>UPI PAYMENT/33138</t>
  </si>
  <si>
    <t>bf8ceac8-b9bf-4426-ba5d-6aef34194b89</t>
  </si>
  <si>
    <t>LED100257</t>
  </si>
  <si>
    <t>33b2d244-724a-45a2-a3be-5bff19944544</t>
  </si>
  <si>
    <t>LED100258</t>
  </si>
  <si>
    <t>UPI/PAYTMgp</t>
  </si>
  <si>
    <t>UPI PAYMENT/PAYTMGP</t>
  </si>
  <si>
    <t>03810f5c-a342-4261-81c1-c6dd5837109d</t>
  </si>
  <si>
    <t>LED100259</t>
  </si>
  <si>
    <t>UPI/36801</t>
  </si>
  <si>
    <t>UPI PAYMENT/36801</t>
  </si>
  <si>
    <t>6c1a5ee0-7414-40a4-9f36-8b6933f0fa83</t>
  </si>
  <si>
    <t>LED100260</t>
  </si>
  <si>
    <t>a8ef789c-e018-4091-ae3c-1a8dd3059cee</t>
  </si>
  <si>
    <t>LED100261</t>
  </si>
  <si>
    <t>UPI/33153</t>
  </si>
  <si>
    <t>UPI PAYMENT/33153</t>
  </si>
  <si>
    <t>a1c54d9d-c9c1-4c41-b7e4-98f8432b533b</t>
  </si>
  <si>
    <t>LED100262</t>
  </si>
  <si>
    <t>f33055c2-9880-4c3c-b579-bc9dbdba255f</t>
  </si>
  <si>
    <t>LED100263</t>
  </si>
  <si>
    <t>058be90e-d820-42c5-b220-eb68cb6d91e6</t>
  </si>
  <si>
    <t>LED100264</t>
  </si>
  <si>
    <t>UPI/3315</t>
  </si>
  <si>
    <t>UPI PAYMENT/3315</t>
  </si>
  <si>
    <t>3f84beb9-7021-4782-9647-5ba0284541a3</t>
  </si>
  <si>
    <t>LED100265</t>
  </si>
  <si>
    <t>UPI/3681</t>
  </si>
  <si>
    <t>UPI PAYMENT/3681</t>
  </si>
  <si>
    <t>edcbfa22-a7c9-45bf-98f3-1b66f9293d78</t>
  </si>
  <si>
    <t>LED100266</t>
  </si>
  <si>
    <t>8b2832e2-79dc-4eec-ae84-d655ce623ccd</t>
  </si>
  <si>
    <t>LED100267</t>
  </si>
  <si>
    <t>UPI/33167</t>
  </si>
  <si>
    <t>UPI PAYMENT/33167</t>
  </si>
  <si>
    <t>330170cb-557c-4c51-a25f-dd1b3b1d6537</t>
  </si>
  <si>
    <t>LED100268</t>
  </si>
  <si>
    <t>UPI/33165</t>
  </si>
  <si>
    <t>UPI PAYMENT/33165</t>
  </si>
  <si>
    <t>2893b10d-01cf-47ef-874a-94b8e5228b5c</t>
  </si>
  <si>
    <t>LED100269</t>
  </si>
  <si>
    <t>e2c705f9-beb3-4fb4-8c29-2a79c80e1523</t>
  </si>
  <si>
    <t>LED100270</t>
  </si>
  <si>
    <t>508c0536-4c4d-428c-85f9-3a72cf1b941f</t>
  </si>
  <si>
    <t>LED100271</t>
  </si>
  <si>
    <t>UPI/PAYTMnp</t>
  </si>
  <si>
    <t>UPI PAYMENT/PAYTMNP</t>
  </si>
  <si>
    <t>2dbc636c-ac81-4322-b587-ef23f2665eee</t>
  </si>
  <si>
    <t>LED100272</t>
  </si>
  <si>
    <t>de7e8802-ba29-422f-b0c5-db358c58cac4</t>
  </si>
  <si>
    <t>LED100273</t>
  </si>
  <si>
    <t>2f4a0006-8083-40fe-aad2-09fe6306597a</t>
  </si>
  <si>
    <t>LED100274</t>
  </si>
  <si>
    <t>UPI/33183</t>
  </si>
  <si>
    <t>UPI PAYMENT/33183</t>
  </si>
  <si>
    <t>d6f48b90-8c0a-479c-86ab-566a322b65c1</t>
  </si>
  <si>
    <t>LED100275</t>
  </si>
  <si>
    <t>UPI/33187P</t>
  </si>
  <si>
    <t>UPI PAYMENT/33187P</t>
  </si>
  <si>
    <t>0f82247c-fd15-4d2f-a6c5-cdcb72196f04</t>
  </si>
  <si>
    <t>LED100276</t>
  </si>
  <si>
    <t>UPI/33181</t>
  </si>
  <si>
    <t>UPI PAYMENT/33181</t>
  </si>
  <si>
    <t>ed150d32-b72f-41de-8175-54316abd8bc8</t>
  </si>
  <si>
    <t>LED100277</t>
  </si>
  <si>
    <t>UPI/PAYTMUP</t>
  </si>
  <si>
    <t>UPI PAYMENT/PAYTMUP</t>
  </si>
  <si>
    <t>6d29d619-312a-4bdc-9371-636828f19d5f</t>
  </si>
  <si>
    <t>LED100278</t>
  </si>
  <si>
    <t>afd49d96-1e4c-4fe9-9032-b46d7642c1bf</t>
  </si>
  <si>
    <t>LED100279</t>
  </si>
  <si>
    <t>UPI/33187</t>
  </si>
  <si>
    <t>UPI PAYMENT/33187</t>
  </si>
  <si>
    <t>6b25f87d-9dd5-485a-8edb-fe376d57e6d8</t>
  </si>
  <si>
    <t>LED100280</t>
  </si>
  <si>
    <t>0030a0d2-6a89-4426-8a0d-49e66a45c790</t>
  </si>
  <si>
    <t>LED100281</t>
  </si>
  <si>
    <t>UPI/33182</t>
  </si>
  <si>
    <t>UPI PAYMENT/33182</t>
  </si>
  <si>
    <t>4a9f3653-0a32-446f-9f4d-1e83cc6fbb2f</t>
  </si>
  <si>
    <t>LED100282</t>
  </si>
  <si>
    <t>UPI/3685/P</t>
  </si>
  <si>
    <t>UPI PAYMENT/3685/P</t>
  </si>
  <si>
    <t>b24e9c76-675a-4eb5-a092-da3db90ee063</t>
  </si>
  <si>
    <t>LED100283</t>
  </si>
  <si>
    <t>UPI/REVERSAL</t>
  </si>
  <si>
    <t>UPI PAYMENT/REVERSAL</t>
  </si>
  <si>
    <t>e8c02bab-2c7c-4299-bfa2-46ca27ac4a9c</t>
  </si>
  <si>
    <t>LED100284</t>
  </si>
  <si>
    <t>UPI/36856/</t>
  </si>
  <si>
    <t>UPI PAYMENT/36856/</t>
  </si>
  <si>
    <t>b30b1251-a428-4d2c-9764-cedbe09ab33a</t>
  </si>
  <si>
    <t>LED100285</t>
  </si>
  <si>
    <t>UPI/36857</t>
  </si>
  <si>
    <t>UPI PAYMENT/36857</t>
  </si>
  <si>
    <t>3d2ba381-c2df-42d5-b507-4bcc2bf44905</t>
  </si>
  <si>
    <t>LED100286</t>
  </si>
  <si>
    <t>UPI/36858</t>
  </si>
  <si>
    <t>UPI PAYMENT/36858</t>
  </si>
  <si>
    <t>887f429e-9db1-49e1-8707-4a5f39882b85</t>
  </si>
  <si>
    <t>LED100287</t>
  </si>
  <si>
    <t>UPI/33194</t>
  </si>
  <si>
    <t>UPI PAYMENT/33194</t>
  </si>
  <si>
    <t>470bc77a-380a-481f-abda-9434b0dbe745</t>
  </si>
  <si>
    <t>LED100288</t>
  </si>
  <si>
    <t>UPI/36853</t>
  </si>
  <si>
    <t>UPI PAYMENT/36853</t>
  </si>
  <si>
    <t>3b63ef24-de3c-49db-a7b4-c3eb758795b7</t>
  </si>
  <si>
    <t>LED100289</t>
  </si>
  <si>
    <t>bc58e33b-28f7-43fb-ab50-0dfddf2bf456</t>
  </si>
  <si>
    <t>LED100290</t>
  </si>
  <si>
    <t>30cd1f8b-6261-43db-b452-515447228351</t>
  </si>
  <si>
    <t>LED100291</t>
  </si>
  <si>
    <t>UPI/33200</t>
  </si>
  <si>
    <t>UPI PAYMENT/33200</t>
  </si>
  <si>
    <t>68f475c3-2160-4a3f-b897-06632242aa0c</t>
  </si>
  <si>
    <t>LED100292</t>
  </si>
  <si>
    <t>BY CASH</t>
  </si>
  <si>
    <t>BY CASH TRANSACTION</t>
  </si>
  <si>
    <t>f7c87c2d-5431-46df-89b7-25ce913627cc</t>
  </si>
  <si>
    <t>LED100293</t>
  </si>
  <si>
    <t>1f3bd603-8abe-4e04-9c9b-1361e37f52ad</t>
  </si>
  <si>
    <t>LED100294</t>
  </si>
  <si>
    <t>7d42455e-56a4-4198-8945-86451a4b337e</t>
  </si>
  <si>
    <t>LED100295</t>
  </si>
  <si>
    <t>UPI/36879</t>
  </si>
  <si>
    <t>UPI PAYMENT/36879</t>
  </si>
  <si>
    <t>a90254ac-1868-4bca-ac10-61964ac95367</t>
  </si>
  <si>
    <t>LED100296</t>
  </si>
  <si>
    <t>UPI/FASHIONEAZY</t>
  </si>
  <si>
    <t>UPI PAYMENT/FASHIONEAZY</t>
  </si>
  <si>
    <t>9e5ed584-6d6c-411a-9554-d1bb99972aa1</t>
  </si>
  <si>
    <t>LED100297</t>
  </si>
  <si>
    <t>UPI/36871</t>
  </si>
  <si>
    <t>UPI PAYMENT/36871</t>
  </si>
  <si>
    <t>d1af2bf6-4719-48f1-b8f1-c8bfe9352db6</t>
  </si>
  <si>
    <t>LED100298</t>
  </si>
  <si>
    <t>632b5bf8-f914-4f72-aa64-bb969d0fe81f</t>
  </si>
  <si>
    <t>LED100299</t>
  </si>
  <si>
    <t>UPI/36881</t>
  </si>
  <si>
    <t>UPI PAYMENT/36881</t>
  </si>
  <si>
    <t>f7df2e6a-503d-4549-874c-48105ad17f2f</t>
  </si>
  <si>
    <t>LED100300</t>
  </si>
  <si>
    <t>8b12d93f-d4f5-44c5-af6a-0fe30065dfe0</t>
  </si>
  <si>
    <t>LED100301</t>
  </si>
  <si>
    <t>505c9f34-fa46-4e80-8a63-ac7028b4d457</t>
  </si>
  <si>
    <t>LED100302</t>
  </si>
  <si>
    <t>00d2ee8e-c73f-4576-857a-8b86116fe288</t>
  </si>
  <si>
    <t>LED100303</t>
  </si>
  <si>
    <t>UPI/33234</t>
  </si>
  <si>
    <t>UPI PAYMENT/33234</t>
  </si>
  <si>
    <t>9eeac9a2-6f46-4520-a72d-26dbca54809e</t>
  </si>
  <si>
    <t>LED100304</t>
  </si>
  <si>
    <t>d949c756-f0da-47d8-886b-4a266349697a</t>
  </si>
  <si>
    <t>LED100305</t>
  </si>
  <si>
    <t>UPI/33249</t>
  </si>
  <si>
    <t>UPI PAYMENT/33249</t>
  </si>
  <si>
    <t>51274ee8-3f86-4bc9-a947-b05ad81f259c</t>
  </si>
  <si>
    <t>LED100306</t>
  </si>
  <si>
    <t>7e3d56df-580b-4b13-a0f4-b16c6e499532</t>
  </si>
  <si>
    <t>LED100307</t>
  </si>
  <si>
    <t>88ea01a6-5933-4b8c-a0ed-ce17118cbeb0</t>
  </si>
  <si>
    <t>LED100308</t>
  </si>
  <si>
    <t>4346b532-d4f4-4de4-aa8d-b39c03387390</t>
  </si>
  <si>
    <t>LED100309</t>
  </si>
  <si>
    <t>UPI/36921</t>
  </si>
  <si>
    <t>UPI PAYMENT/36921</t>
  </si>
  <si>
    <t>2cd53cf9-5848-4a2d-8bd7-30cc9846c0ee</t>
  </si>
  <si>
    <t>LED100310</t>
  </si>
  <si>
    <t>UPI/33267</t>
  </si>
  <si>
    <t>UPI PAYMENT/33267</t>
  </si>
  <si>
    <t>ac95c4fc-71ec-44e2-bf53-30a6c5e723ad</t>
  </si>
  <si>
    <t>LED100311</t>
  </si>
  <si>
    <t>5ff491fc-1e7f-48fd-a44f-32f9d5053b9f</t>
  </si>
  <si>
    <t>LED100312</t>
  </si>
  <si>
    <t>UPI/33279</t>
  </si>
  <si>
    <t>UPI PAYMENT/33279</t>
  </si>
  <si>
    <t>ad942ea9-d12b-48d0-9a0c-7c043724c06e</t>
  </si>
  <si>
    <t>LED100313</t>
  </si>
  <si>
    <t>UPI/36936</t>
  </si>
  <si>
    <t>UPI PAYMENT/36936</t>
  </si>
  <si>
    <t>343b62a0-8530-46dd-b4c2-7f4d87bff9fd</t>
  </si>
  <si>
    <t>LED100314</t>
  </si>
  <si>
    <t>cd342f20-d121-492e-a2ed-aecd75a71ea1</t>
  </si>
  <si>
    <t>LED100315</t>
  </si>
  <si>
    <t>UPI/36947</t>
  </si>
  <si>
    <t>UPI PAYMENT/36947</t>
  </si>
  <si>
    <t>ae0dd897-8e9e-43cf-9922-2f83f71defb0</t>
  </si>
  <si>
    <t>LED100316</t>
  </si>
  <si>
    <t>7434e1b8-a31a-4daf-a3f0-3d5bbd85a091</t>
  </si>
  <si>
    <t>LED100317</t>
  </si>
  <si>
    <t>UPI/33287</t>
  </si>
  <si>
    <t>UPI PAYMENT/33287</t>
  </si>
  <si>
    <t>64359bb5-001f-4d75-bf3f-5a0f7a83721d</t>
  </si>
  <si>
    <t>LED100318</t>
  </si>
  <si>
    <t>d7a24290-3f7c-4a0f-bb10-59a35cadf7a7</t>
  </si>
  <si>
    <t>LED100319</t>
  </si>
  <si>
    <t>UPI/AIRTELPREDIRECT</t>
  </si>
  <si>
    <t>UPI PAYMENT/AIRTELPREDIRECT</t>
  </si>
  <si>
    <t>36d89541-efdd-4969-8c7d-54fd6cbe178a</t>
  </si>
  <si>
    <t>LED100320</t>
  </si>
  <si>
    <t>UPI/33293</t>
  </si>
  <si>
    <t>UPI PAYMENT/33293</t>
  </si>
  <si>
    <t>1812fb87-0dd6-4172-9978-79aecbd5185e</t>
  </si>
  <si>
    <t>LED100321</t>
  </si>
  <si>
    <t>9c98e1bf-3fa4-4993-aec1-1b4a4e1ca220</t>
  </si>
  <si>
    <t>LED100322</t>
  </si>
  <si>
    <t>UPI/33308</t>
  </si>
  <si>
    <t>UPI PAYMENT/33308</t>
  </si>
  <si>
    <t>75635fc2-67a3-4539-8e05-ee1a20c78efa</t>
  </si>
  <si>
    <t>LED100323</t>
  </si>
  <si>
    <t>UPI/36963</t>
  </si>
  <si>
    <t>UPI PAYMENT/36963</t>
  </si>
  <si>
    <t>5fc5f6a6-d30c-4463-8f06-837284784066</t>
  </si>
  <si>
    <t>LED100324</t>
  </si>
  <si>
    <t>4e2ffce6-1f63-47fd-a074-7fff8772141a</t>
  </si>
  <si>
    <t>LED100325</t>
  </si>
  <si>
    <t>UPI/36978</t>
  </si>
  <si>
    <t>UPI PAYMENT/36978</t>
  </si>
  <si>
    <t>c166807b-bd8f-413c-8b0c-aa899e3a545d</t>
  </si>
  <si>
    <t>LED100326</t>
  </si>
  <si>
    <t>c1d1e376-af63-471a-abe7-4f035facf30d</t>
  </si>
  <si>
    <t>LED100327</t>
  </si>
  <si>
    <t>275017b6-a00e-486f-a7f3-e0fb19e98644</t>
  </si>
  <si>
    <t>LED100328</t>
  </si>
  <si>
    <t>UPI/3698</t>
  </si>
  <si>
    <t>UPI PAYMENT/3698</t>
  </si>
  <si>
    <t>c6e2ea68-9079-40f8-8b4e-a7d294b69741</t>
  </si>
  <si>
    <t>LED100329</t>
  </si>
  <si>
    <t>UPI/36989</t>
  </si>
  <si>
    <t>UPI PAYMENT/36989</t>
  </si>
  <si>
    <t>115e3d52-56c4-4f3b-9f87-6d8bfc0370e3</t>
  </si>
  <si>
    <t>LED100330</t>
  </si>
  <si>
    <t>5dcb09f6-be85-4846-8914-637047408ee6</t>
  </si>
  <si>
    <t>LED100331</t>
  </si>
  <si>
    <t>60c58e3b-a75f-4961-b0ee-96cbaa0ec2f8</t>
  </si>
  <si>
    <t>LED100332</t>
  </si>
  <si>
    <t>dfbb98e2-96b0-4992-aed0-acc3c73cd167</t>
  </si>
  <si>
    <t>LED100333</t>
  </si>
  <si>
    <t>UPI/33333</t>
  </si>
  <si>
    <t>UPI PAYMENT/33333</t>
  </si>
  <si>
    <t>fa3a4eef-62d7-4983-bec0-de57682a2351</t>
  </si>
  <si>
    <t>LED100334</t>
  </si>
  <si>
    <t>UPI/36992</t>
  </si>
  <si>
    <t>UPI PAYMENT/36992</t>
  </si>
  <si>
    <t>d0f14f9d-9547-4627-bb53-fa14e241b4f5</t>
  </si>
  <si>
    <t>LED100335</t>
  </si>
  <si>
    <t>UPI/33331</t>
  </si>
  <si>
    <t>UPI PAYMENT/33331</t>
  </si>
  <si>
    <t>6c302bab-ff0d-4507-ac15-bf2df72368f3</t>
  </si>
  <si>
    <t>LED100336</t>
  </si>
  <si>
    <t>UPI/36990</t>
  </si>
  <si>
    <t>UPI PAYMENT/36990</t>
  </si>
  <si>
    <t>95e029ef-d7fb-452e-bfd9-7a537166c523</t>
  </si>
  <si>
    <t>LED100337</t>
  </si>
  <si>
    <t>UPI/3699</t>
  </si>
  <si>
    <t>UPI PAYMENT/3699</t>
  </si>
  <si>
    <t>6743eb41-36cc-4ab6-ac49-2c1812d28960</t>
  </si>
  <si>
    <t>LED100338</t>
  </si>
  <si>
    <t>aad12703-8c25-4ce0-b63a-2a2bf2523f35</t>
  </si>
  <si>
    <t>LED100339</t>
  </si>
  <si>
    <t>UPI/PAYTMfp</t>
  </si>
  <si>
    <t>UPI PAYMENT/PAYTMFP</t>
  </si>
  <si>
    <t>3ff4cfb5-eec0-42e2-b00b-f2fb7d63416f</t>
  </si>
  <si>
    <t>LED100472</t>
  </si>
  <si>
    <t>Same amount + high description similarity 100% but date differs by 46 days</t>
  </si>
  <si>
    <t>bd4a809c-2513-455a-8eae-115c1ecb11de</t>
  </si>
  <si>
    <t>LED100341</t>
  </si>
  <si>
    <t>UPI/33357</t>
  </si>
  <si>
    <t>UPI PAYMENT/33357</t>
  </si>
  <si>
    <t>3de3b4c1-b1c2-49af-9a0a-6ba45e489cb5</t>
  </si>
  <si>
    <t>LED100342</t>
  </si>
  <si>
    <t>014c4796-9ad0-473d-83bb-357fcea8e152</t>
  </si>
  <si>
    <t>LED100343</t>
  </si>
  <si>
    <t>UPI/33354</t>
  </si>
  <si>
    <t>UPI PAYMENT/33354</t>
  </si>
  <si>
    <t>8a2f5e55-dfdd-427f-8870-0150f68cc498</t>
  </si>
  <si>
    <t>LED100344</t>
  </si>
  <si>
    <t>53009bee-6c73-4d5d-958f-b3258f552391</t>
  </si>
  <si>
    <t>LED100345</t>
  </si>
  <si>
    <t>UPI/3702</t>
  </si>
  <si>
    <t>UPI PAYMENT/3702</t>
  </si>
  <si>
    <t>b6c5da26-8ed8-49c5-ba4a-bf31127ce418</t>
  </si>
  <si>
    <t>LED100346</t>
  </si>
  <si>
    <t>UPI/33369</t>
  </si>
  <si>
    <t>UPI PAYMENT/33369</t>
  </si>
  <si>
    <t>67290c96-fe8b-44b2-9ab3-4c4b3b046cb7</t>
  </si>
  <si>
    <t>LED100347</t>
  </si>
  <si>
    <t>942d6886-8012-4678-93a2-b100cbd039f5</t>
  </si>
  <si>
    <t>UPI/3703</t>
  </si>
  <si>
    <t>048a160c-23ad-481e-a0ff-578c6fa5691a</t>
  </si>
  <si>
    <t>LED100349</t>
  </si>
  <si>
    <t>7e563d6a-9bd2-4e92-98d6-d1d5198fcd77</t>
  </si>
  <si>
    <t>LED100350</t>
  </si>
  <si>
    <t>9cffe60a-004d-4301-be5d-65fec77679d4</t>
  </si>
  <si>
    <t>LED100351</t>
  </si>
  <si>
    <t>UPI/37044</t>
  </si>
  <si>
    <t>UPI PAYMENT/37044</t>
  </si>
  <si>
    <t>235cd63f-42dc-4c6c-937d-5edceea0515a</t>
  </si>
  <si>
    <t>LED100352</t>
  </si>
  <si>
    <t>fbcbe993-694a-41b5-af91-b8849e09696d</t>
  </si>
  <si>
    <t>LED100353</t>
  </si>
  <si>
    <t>Description similarity 100% but amount differs by ₹1.20</t>
  </si>
  <si>
    <t>069c0e2e-c49f-4381-b345-9fa78ad7005f</t>
  </si>
  <si>
    <t>LED100354</t>
  </si>
  <si>
    <t>9407b42d-53e7-482b-a58e-bace37332a4a</t>
  </si>
  <si>
    <t>LED100355</t>
  </si>
  <si>
    <t>UPI/33395</t>
  </si>
  <si>
    <t>UPI PAYMENT/33395</t>
  </si>
  <si>
    <t>8c80c555-956d-49d3-99f6-b69bf42fa411</t>
  </si>
  <si>
    <t>LED100356</t>
  </si>
  <si>
    <t>UPI/37063</t>
  </si>
  <si>
    <t>UPI PAYMENT/37063</t>
  </si>
  <si>
    <t>4840038d-9187-4690-9906-5e43c57e89e3</t>
  </si>
  <si>
    <t>LED100357</t>
  </si>
  <si>
    <t>UPI/3707</t>
  </si>
  <si>
    <t>UPI PAYMENT/3707</t>
  </si>
  <si>
    <t>6d952ab3-15ac-4eb6-8b62-a0359ab885b6</t>
  </si>
  <si>
    <t>LED100358</t>
  </si>
  <si>
    <t>UPI/33416</t>
  </si>
  <si>
    <t>UPI PAYMENT/33416</t>
  </si>
  <si>
    <t>c1bafebb-16c3-4b5f-a04f-84120657b604</t>
  </si>
  <si>
    <t>LED100359</t>
  </si>
  <si>
    <t>UPI/37071</t>
  </si>
  <si>
    <t>UPI PAYMENT/37071</t>
  </si>
  <si>
    <t>f440e241-295e-4d32-a083-38ba7ef51113</t>
  </si>
  <si>
    <t>LED100360</t>
  </si>
  <si>
    <t>a4235b82-f486-4a3e-b916-06be83f5f799</t>
  </si>
  <si>
    <t>LED100361</t>
  </si>
  <si>
    <t>2e3bed8e-65ec-4ea4-99ad-01a8874875d5</t>
  </si>
  <si>
    <t>LED100362</t>
  </si>
  <si>
    <t>3640935a-3ece-4d18-8870-c57f78152f20</t>
  </si>
  <si>
    <t>LED100363</t>
  </si>
  <si>
    <t>8ec29c92-1ba8-46a2-8d4f-a366ba1af469</t>
  </si>
  <si>
    <t>LED100364</t>
  </si>
  <si>
    <t>UPI/37090</t>
  </si>
  <si>
    <t>UPI PAYMENT/37090</t>
  </si>
  <si>
    <t>17e18e42-31d4-486a-8b20-992584eecf4f</t>
  </si>
  <si>
    <t>LED100365</t>
  </si>
  <si>
    <t>UPI/33430</t>
  </si>
  <si>
    <t>UPI PAYMENT/33430</t>
  </si>
  <si>
    <t>dc1772d9-fcab-47f0-8577-4dfafb04b996</t>
  </si>
  <si>
    <t>LED100366</t>
  </si>
  <si>
    <t>8cd2ad3f-fa1b-4f03-8fc2-a4f280b5dc67</t>
  </si>
  <si>
    <t>LED100367</t>
  </si>
  <si>
    <t>UPI/3710</t>
  </si>
  <si>
    <t>UPI PAYMENT/3710</t>
  </si>
  <si>
    <t>acc4f7ef-860b-4467-a566-94afb81e865f</t>
  </si>
  <si>
    <t>LED100368</t>
  </si>
  <si>
    <t>UPI/37101-</t>
  </si>
  <si>
    <t>UPI PAYMENT/37101-</t>
  </si>
  <si>
    <t>8a6d2118-2ffb-4bf2-a909-bb18224dc396</t>
  </si>
  <si>
    <t>LED100369</t>
  </si>
  <si>
    <t>1525ce13-ba65-4d9c-9b70-512ff424ee7a</t>
  </si>
  <si>
    <t>LED100370</t>
  </si>
  <si>
    <t>UPI/33458</t>
  </si>
  <si>
    <t>UPI PAYMENT/33458</t>
  </si>
  <si>
    <t>824eedf2-cdec-4fa4-a64e-2571db8c400b</t>
  </si>
  <si>
    <t>LED100371</t>
  </si>
  <si>
    <t>8808c52c-487f-4c1a-a174-030cebd5dd51</t>
  </si>
  <si>
    <t>LED100372</t>
  </si>
  <si>
    <t>89d35324-ffed-4553-ae23-fe785440b61c</t>
  </si>
  <si>
    <t>LED100373</t>
  </si>
  <si>
    <t>a59ffb85-69d7-4c1d-b194-32d1c1d21160</t>
  </si>
  <si>
    <t>LED100374</t>
  </si>
  <si>
    <t>UPI/37133</t>
  </si>
  <si>
    <t>UPI PAYMENT/37133</t>
  </si>
  <si>
    <t>e5f9a203-43cf-45d0-9ee7-13b83ebc7c5a</t>
  </si>
  <si>
    <t>LED100375</t>
  </si>
  <si>
    <t>66ac8fe7-7c35-4ff3-afb1-42b4417e335c</t>
  </si>
  <si>
    <t>LED100376</t>
  </si>
  <si>
    <t>UPI/37136</t>
  </si>
  <si>
    <t>UPI PAYMENT/37136</t>
  </si>
  <si>
    <t>50944c66-968b-4497-83e0-e6851e0cc277</t>
  </si>
  <si>
    <t>LED100377</t>
  </si>
  <si>
    <t>eb6c2f3d-fda7-4f6e-b1b5-1da1e8c31e0c</t>
  </si>
  <si>
    <t>LED100378</t>
  </si>
  <si>
    <t>UPI/33481</t>
  </si>
  <si>
    <t>UPI PAYMENT/33481</t>
  </si>
  <si>
    <t>d2487a4d-ff70-479d-b733-e05dcc85e312</t>
  </si>
  <si>
    <t>LED100379</t>
  </si>
  <si>
    <t>UPI/37144</t>
  </si>
  <si>
    <t>UPI PAYMENT/37144</t>
  </si>
  <si>
    <t>da2103a4-9c9e-4c6a-85a1-52c3b4183238</t>
  </si>
  <si>
    <t>LED100380</t>
  </si>
  <si>
    <t>UPI/37157</t>
  </si>
  <si>
    <t>UPI PAYMENT/37157</t>
  </si>
  <si>
    <t>17ad766b-af37-40c5-b682-d7dcf5c477f0</t>
  </si>
  <si>
    <t>LED100381</t>
  </si>
  <si>
    <t>8bc13a32-b96d-48cc-b3f4-44347d2bfa51</t>
  </si>
  <si>
    <t>LED100382</t>
  </si>
  <si>
    <t>61394046-351b-4ec4-a76c-d22a1ce7a56e</t>
  </si>
  <si>
    <t>LED100383</t>
  </si>
  <si>
    <t>UPI/33502</t>
  </si>
  <si>
    <t>UPI PAYMENT/33502</t>
  </si>
  <si>
    <t>1cb1dd5c-9dcd-42b2-b64d-e346ef69d09d</t>
  </si>
  <si>
    <t>LED100384</t>
  </si>
  <si>
    <t>1bd57b7d-e4d7-4c38-ba41-4217b0e19660</t>
  </si>
  <si>
    <t>LED100385</t>
  </si>
  <si>
    <t>UPI/33518</t>
  </si>
  <si>
    <t>UPI PAYMENT/33518</t>
  </si>
  <si>
    <t>0012eaa8-368a-4e35-b3c0-a95b33e8cd96</t>
  </si>
  <si>
    <t>LED100386</t>
  </si>
  <si>
    <t>UPI/37176</t>
  </si>
  <si>
    <t>UPI PAYMENT/37176</t>
  </si>
  <si>
    <t>d435bb20-9bd2-414a-bf2c-5e4f55769f08</t>
  </si>
  <si>
    <t>LED100387</t>
  </si>
  <si>
    <t>UPI/33519</t>
  </si>
  <si>
    <t>UPI PAYMENT/33519</t>
  </si>
  <si>
    <t>738ed782-9779-4e4d-a0ff-018c97d91632</t>
  </si>
  <si>
    <t>LED100388</t>
  </si>
  <si>
    <t>UPI/3717</t>
  </si>
  <si>
    <t>UPI PAYMENT/3717</t>
  </si>
  <si>
    <t>2fac0273-e8a0-4ede-ba72-406f9b86361e</t>
  </si>
  <si>
    <t>LED100389</t>
  </si>
  <si>
    <t>74391594-4b0a-4e9d-8349-9bb8270850f0</t>
  </si>
  <si>
    <t>LED100390</t>
  </si>
  <si>
    <t>UPI/37185/</t>
  </si>
  <si>
    <t>UPI PAYMENT/37185/</t>
  </si>
  <si>
    <t>4d7c974b-2ebd-40b9-ab59-6fe7d3209753</t>
  </si>
  <si>
    <t>LED100391</t>
  </si>
  <si>
    <t>8b6884ea-2f8e-42e1-ab66-0145777135bb</t>
  </si>
  <si>
    <t>LED100392</t>
  </si>
  <si>
    <t>cab97d3e-5468-4e30-bbfd-3067cfb83384</t>
  </si>
  <si>
    <t>LED100393</t>
  </si>
  <si>
    <t>UPI/33535</t>
  </si>
  <si>
    <t>UPI PAYMENT/33535</t>
  </si>
  <si>
    <t>6c999f83-d09c-4d71-864f-64c31fde893a</t>
  </si>
  <si>
    <t>LED100394</t>
  </si>
  <si>
    <t>UPI/PAYTMvp</t>
  </si>
  <si>
    <t>UPI PAYMENT/PAYTMVP</t>
  </si>
  <si>
    <t>fa0a0894-4dbe-46d1-b601-aedc49fd803a</t>
  </si>
  <si>
    <t>LED100395</t>
  </si>
  <si>
    <t>27da12ab-450e-4b8c-b7e2-34e090da6f25</t>
  </si>
  <si>
    <t>LED100396</t>
  </si>
  <si>
    <t>UPI/37208</t>
  </si>
  <si>
    <t>UPI PAYMENT/37208</t>
  </si>
  <si>
    <t>e24aee89-6149-4ac9-89eb-76eb8503c08d</t>
  </si>
  <si>
    <t>LED100397</t>
  </si>
  <si>
    <t>d06f3238-931b-4299-87a6-0fed0b5c1ce1</t>
  </si>
  <si>
    <t>LED100398</t>
  </si>
  <si>
    <t>1dca6210-82bd-4786-888d-eab1f5510d35</t>
  </si>
  <si>
    <t>LED100399</t>
  </si>
  <si>
    <t>UPI/37210</t>
  </si>
  <si>
    <t>UPI PAYMENT/37210</t>
  </si>
  <si>
    <t>a4ed9eb6-61da-4cf5-ae2b-c82f01d92ae5</t>
  </si>
  <si>
    <t>LED100400</t>
  </si>
  <si>
    <t>ad3456cf-708e-42c3-a4ab-0e1b010b78ba</t>
  </si>
  <si>
    <t>LED100401</t>
  </si>
  <si>
    <t>UPI/37227</t>
  </si>
  <si>
    <t>UPI PAYMENT/37227</t>
  </si>
  <si>
    <t>f8d5c5ec-f06b-4077-ab4a-d9654f079fdd</t>
  </si>
  <si>
    <t>LED100402</t>
  </si>
  <si>
    <t>UPI/37226</t>
  </si>
  <si>
    <t>UPI PAYMENT/37226</t>
  </si>
  <si>
    <t>bb67ffaf-673e-4001-88a8-3fe5525e8547</t>
  </si>
  <si>
    <t>LED100403</t>
  </si>
  <si>
    <t>78842830-5518-49e4-98d7-1d18237b8900</t>
  </si>
  <si>
    <t>LED100404</t>
  </si>
  <si>
    <t>1379293d-e6de-490d-a4c8-c8ccbc222f55</t>
  </si>
  <si>
    <t>LED100405</t>
  </si>
  <si>
    <t>c4c402ee-91b0-4c1b-b343-cd5d4b6ad4b4</t>
  </si>
  <si>
    <t>LED100406</t>
  </si>
  <si>
    <t>11492697-fa31-47ab-a78d-cc61497d4aa5</t>
  </si>
  <si>
    <t>LED100407</t>
  </si>
  <si>
    <t>UPI/37249</t>
  </si>
  <si>
    <t>UPI PAYMENT/37249</t>
  </si>
  <si>
    <t>66741393-18f7-4753-9623-6b0e092077eb</t>
  </si>
  <si>
    <t>LED100408</t>
  </si>
  <si>
    <t>UPI/33584</t>
  </si>
  <si>
    <t>UPI PAYMENT/33584</t>
  </si>
  <si>
    <t>5028b245-0d4b-4efc-afb5-167c28362579</t>
  </si>
  <si>
    <t>LED100409</t>
  </si>
  <si>
    <t>UPI/33586</t>
  </si>
  <si>
    <t>UPI PAYMENT/33586</t>
  </si>
  <si>
    <t>852f4b65-53cf-40b6-96c7-d6fd5175cbae</t>
  </si>
  <si>
    <t>LED100410</t>
  </si>
  <si>
    <t>UPI/37240</t>
  </si>
  <si>
    <t>UPI PAYMENT/37240</t>
  </si>
  <si>
    <t>4fbf0fac-deec-4188-a05b-35cbf08cef1a</t>
  </si>
  <si>
    <t>LED100411</t>
  </si>
  <si>
    <t>a95a11cb-13da-4251-87ba-0e756e454568</t>
  </si>
  <si>
    <t>LED100412</t>
  </si>
  <si>
    <t>UPI/37256</t>
  </si>
  <si>
    <t>UPI PAYMENT/37256</t>
  </si>
  <si>
    <t>0023242d-1db9-4e07-8220-f9641e53f407</t>
  </si>
  <si>
    <t>LED100413</t>
  </si>
  <si>
    <t>UPI/33597</t>
  </si>
  <si>
    <t>UPI PAYMENT/33597</t>
  </si>
  <si>
    <t>5b80c7f9-951b-438f-952c-47221d453adb</t>
  </si>
  <si>
    <t>LED100414</t>
  </si>
  <si>
    <t>UPI/33592/goog-payment</t>
  </si>
  <si>
    <t>UPI PAYMENT/33592/GOOG-PAYMENT</t>
  </si>
  <si>
    <t>9ccad65c-9862-4d10-9f9b-7d23080cb7b1</t>
  </si>
  <si>
    <t>LED100415</t>
  </si>
  <si>
    <t>UPI/33594</t>
  </si>
  <si>
    <t>UPI PAYMENT/33594</t>
  </si>
  <si>
    <t>180cf57a-a5c1-499f-b244-c1a7f947fd02</t>
  </si>
  <si>
    <t>LED100416</t>
  </si>
  <si>
    <t>UPI/37252</t>
  </si>
  <si>
    <t>UPI PAYMENT/37252</t>
  </si>
  <si>
    <t>88dc08eb-4d59-49dd-b0aa-e78d9add4e2c</t>
  </si>
  <si>
    <t>LED100417</t>
  </si>
  <si>
    <t>1e037adf-c2e8-49c6-a9f7-2b73bbdc34cc</t>
  </si>
  <si>
    <t>LED100418</t>
  </si>
  <si>
    <t>639e951c-916f-4215-953c-97d751ce6ed8</t>
  </si>
  <si>
    <t>LED100419</t>
  </si>
  <si>
    <t>24c9cfcd-9ea9-411f-85df-98faebff3b25</t>
  </si>
  <si>
    <t>LED100420</t>
  </si>
  <si>
    <t>UPI/33610</t>
  </si>
  <si>
    <t>UPI PAYMENT/33610</t>
  </si>
  <si>
    <t>9a3605e0-3524-4ec7-83da-85fb7675ebb9</t>
  </si>
  <si>
    <t>LED100421</t>
  </si>
  <si>
    <t>UPI/37273</t>
  </si>
  <si>
    <t>UPI PAYMENT/37273</t>
  </si>
  <si>
    <t>193526b9-3727-4792-94a4-db19dd9f5ea7</t>
  </si>
  <si>
    <t>LED100422</t>
  </si>
  <si>
    <t>UPI/33613</t>
  </si>
  <si>
    <t>UPI PAYMENT/33613</t>
  </si>
  <si>
    <t>Description similarity 100% but amount differs by ₹25.00</t>
  </si>
  <si>
    <t>7f1d2a75-1a8b-436a-be96-06bb383a7153</t>
  </si>
  <si>
    <t>LED100423</t>
  </si>
  <si>
    <t>UPI/3727</t>
  </si>
  <si>
    <t>UPI PAYMENT/3727</t>
  </si>
  <si>
    <t>862ad5d8-cf18-4308-a3e6-4c7bc06c34df</t>
  </si>
  <si>
    <t>LED100424</t>
  </si>
  <si>
    <t>6bc28a65-1437-4c07-aa79-c9b563bc5265</t>
  </si>
  <si>
    <t>LED100425</t>
  </si>
  <si>
    <t>UPI/3728</t>
  </si>
  <si>
    <t>UPI PAYMENT/3728</t>
  </si>
  <si>
    <t>62254c56-0884-4f06-bf06-2bc1264348b3</t>
  </si>
  <si>
    <t>LED100426</t>
  </si>
  <si>
    <t>237a72cd-64e9-4ae3-92a1-c7eba58fa216</t>
  </si>
  <si>
    <t>UPI/3729</t>
  </si>
  <si>
    <t>62202a0c-8ad2-4b14-ac71-f60b6d75f61e</t>
  </si>
  <si>
    <t>LED100428</t>
  </si>
  <si>
    <t>UPI/33647</t>
  </si>
  <si>
    <t>UPI PAYMENT/33647</t>
  </si>
  <si>
    <t>4137df5c-c8b0-4f8c-b0ff-a0618ab05e36</t>
  </si>
  <si>
    <t>LED100429</t>
  </si>
  <si>
    <t>UPI/3730</t>
  </si>
  <si>
    <t>UPI PAYMENT/3730</t>
  </si>
  <si>
    <t>Description similarity 100% but amount differs by ₹1.56</t>
  </si>
  <si>
    <t>aa0dcff2-c956-46a6-96ce-efbdf01d5d9b</t>
  </si>
  <si>
    <t>LED100430</t>
  </si>
  <si>
    <t>55476aac-ad49-4aaf-84b8-95c06cfe2b22</t>
  </si>
  <si>
    <t>LED100431</t>
  </si>
  <si>
    <t>UPI/3731</t>
  </si>
  <si>
    <t>UPI PAYMENT/3731</t>
  </si>
  <si>
    <t>e5c67e48-2712-413e-a53d-6dd9996e11ae</t>
  </si>
  <si>
    <t>LED100432</t>
  </si>
  <si>
    <t>b20c5a06-a9ec-4f85-b905-f5f595851a46</t>
  </si>
  <si>
    <t>LED100433</t>
  </si>
  <si>
    <t>UPI/4367</t>
  </si>
  <si>
    <t>UPI PAYMENT/4367</t>
  </si>
  <si>
    <t>2996bcc7-9f66-4df3-8e7c-09a8fa75163a</t>
  </si>
  <si>
    <t>LED100434</t>
  </si>
  <si>
    <t>45bd7eda-edf6-4d6a-abef-ca41658bb597</t>
  </si>
  <si>
    <t>LED100435</t>
  </si>
  <si>
    <t>UPI/43677</t>
  </si>
  <si>
    <t>UPI PAYMENT/43677</t>
  </si>
  <si>
    <t>198742d6-1048-43de-aa4e-41cc27c472e0</t>
  </si>
  <si>
    <t>LED100436</t>
  </si>
  <si>
    <t>UPI/40013/</t>
  </si>
  <si>
    <t>UPI PAYMENT/40013/</t>
  </si>
  <si>
    <t>c15cb3cc-f7f3-4876-a2d1-55bbdea480f0</t>
  </si>
  <si>
    <t>LED100437</t>
  </si>
  <si>
    <t>UPI/43672</t>
  </si>
  <si>
    <t>UPI PAYMENT/43672</t>
  </si>
  <si>
    <t>cf816ca2-9fc0-4e43-b8ce-6e8a8f22211c</t>
  </si>
  <si>
    <t>LED100438</t>
  </si>
  <si>
    <t>UPI/43681</t>
  </si>
  <si>
    <t>UPI PAYMENT/43681</t>
  </si>
  <si>
    <t>8ee308dd-abf8-4647-a620-446e808ed0ef</t>
  </si>
  <si>
    <t>LED100439</t>
  </si>
  <si>
    <t>UPI/43683</t>
  </si>
  <si>
    <t>UPI PAYMENT/43683</t>
  </si>
  <si>
    <t>451c2fc7-caaa-43e6-a9d9-f1fef5f04fd5</t>
  </si>
  <si>
    <t>LED100440</t>
  </si>
  <si>
    <t>UPI/43685</t>
  </si>
  <si>
    <t>UPI PAYMENT/43685</t>
  </si>
  <si>
    <t>5d37f0e9-2445-4da1-8f90-9db6918dffb7</t>
  </si>
  <si>
    <t>LED100441</t>
  </si>
  <si>
    <t>5f4d9d8c-ad15-4521-a4ef-78ce8a7bc41f</t>
  </si>
  <si>
    <t>LED100442</t>
  </si>
  <si>
    <t>UPI/43699</t>
  </si>
  <si>
    <t>UPI PAYMENT/43699</t>
  </si>
  <si>
    <t>1862c07d-6102-47a5-8cfe-9be7d7ac500f</t>
  </si>
  <si>
    <t>LED100443</t>
  </si>
  <si>
    <t>f7cdffdc-88ab-4e12-a0cd-fc8afb8cedcf</t>
  </si>
  <si>
    <t>LED100444</t>
  </si>
  <si>
    <t>ab016bb8-dfba-4171-8adf-2e4737c99d8b</t>
  </si>
  <si>
    <t>LED100445</t>
  </si>
  <si>
    <t>1115107b-8f3c-4048-a6bf-cd73d8ca2315</t>
  </si>
  <si>
    <t>LED100446</t>
  </si>
  <si>
    <t>4d94c4b0-086b-4f5c-a7c7-fd861ef2a2f6</t>
  </si>
  <si>
    <t>LED100447</t>
  </si>
  <si>
    <t>ce4a5a75-f6f6-469f-a474-6af88d46068a</t>
  </si>
  <si>
    <t>LED100448</t>
  </si>
  <si>
    <t>f8d997e5-7366-4a8f-bdd2-db5f3255c418</t>
  </si>
  <si>
    <t>LED100449</t>
  </si>
  <si>
    <t>UPI/43747/</t>
  </si>
  <si>
    <t>UPI PAYMENT/43747/</t>
  </si>
  <si>
    <t>714a7169-2cb5-4d1b-b862-26ee6df6534f</t>
  </si>
  <si>
    <t>LED100450</t>
  </si>
  <si>
    <t>UPI/40084/</t>
  </si>
  <si>
    <t>UPI PAYMENT/40084/</t>
  </si>
  <si>
    <t>ea3b8828-50eb-4c18-826d-badcc15f5f44</t>
  </si>
  <si>
    <t>LED100451</t>
  </si>
  <si>
    <t>UPI/40086/</t>
  </si>
  <si>
    <t>UPI PAYMENT/40086/</t>
  </si>
  <si>
    <t>04a2fd59-6e28-4bea-841b-eb19416faace</t>
  </si>
  <si>
    <t>LED100452</t>
  </si>
  <si>
    <t>0bf5340d-2711-4f50-971d-0f218701732f</t>
  </si>
  <si>
    <t>LED100453</t>
  </si>
  <si>
    <t>02fb796f-83a5-4935-bd8a-94a2d5545f0c</t>
  </si>
  <si>
    <t>LED100454</t>
  </si>
  <si>
    <t>264fc9ff-d326-4ff3-b453-23596ce53c7a</t>
  </si>
  <si>
    <t>LED100455</t>
  </si>
  <si>
    <t>fefda690-3a17-4220-83c2-9efa5f59b365</t>
  </si>
  <si>
    <t>LED100456</t>
  </si>
  <si>
    <t>UPI/40101</t>
  </si>
  <si>
    <t>UPI PAYMENT/40101</t>
  </si>
  <si>
    <t>70b8c222-792d-4db2-a7b4-f1922e0ac67b</t>
  </si>
  <si>
    <t>LED100457</t>
  </si>
  <si>
    <t>UPI/40108</t>
  </si>
  <si>
    <t>UPI PAYMENT/40108</t>
  </si>
  <si>
    <t>acf395c0-4bf7-4767-8821-e0a099972b69</t>
  </si>
  <si>
    <t>LED100458</t>
  </si>
  <si>
    <t>UPI/4376</t>
  </si>
  <si>
    <t>UPI PAYMENT/4376</t>
  </si>
  <si>
    <t>ed0cd356-1ae5-43f4-8178-c22ff9fe61ed</t>
  </si>
  <si>
    <t>LED100459</t>
  </si>
  <si>
    <t>a9ff7b75-7cac-4d51-9e3b-2d78c9af1965</t>
  </si>
  <si>
    <t>LED100460</t>
  </si>
  <si>
    <t>UPI/43775</t>
  </si>
  <si>
    <t>UPI PAYMENT/43775</t>
  </si>
  <si>
    <t>62c9d5e2-428e-4a79-bd11-92d8f07db62c</t>
  </si>
  <si>
    <t>LED100461</t>
  </si>
  <si>
    <t>c7cbcd85-01cf-4dc9-b995-fccb5906ff33</t>
  </si>
  <si>
    <t>LED100462</t>
  </si>
  <si>
    <t>UPI/43787</t>
  </si>
  <si>
    <t>UPI PAYMENT/43787</t>
  </si>
  <si>
    <t>e96afe40-f953-486a-8a3b-e031a1901448</t>
  </si>
  <si>
    <t>LED100463</t>
  </si>
  <si>
    <t>Description similarity 100% but amount differs by ₹34.50</t>
  </si>
  <si>
    <t>3fe91676-7889-4829-a932-6d8b2755cb08</t>
  </si>
  <si>
    <t>LED100464</t>
  </si>
  <si>
    <t>UPI/40123</t>
  </si>
  <si>
    <t>UPI PAYMENT/40123</t>
  </si>
  <si>
    <t>4e5f8715-5a80-43d6-bf83-56a26a12d55d</t>
  </si>
  <si>
    <t>LED100465</t>
  </si>
  <si>
    <t>UPI/43791</t>
  </si>
  <si>
    <t>UPI PAYMENT/43791</t>
  </si>
  <si>
    <t>7e3b7c17-647b-45b7-8baf-79d338c2a6fd</t>
  </si>
  <si>
    <t>LED100466</t>
  </si>
  <si>
    <t>c1795188-ceec-4f70-a41f-b54e5ca02f5d</t>
  </si>
  <si>
    <t>LED100467</t>
  </si>
  <si>
    <t>UPI/40135</t>
  </si>
  <si>
    <t>UPI PAYMENT/40135</t>
  </si>
  <si>
    <t>2d13afe7-357d-425c-a331-09ce27110425</t>
  </si>
  <si>
    <t>LED100468</t>
  </si>
  <si>
    <t>f5e5f32a-7d3e-427d-a391-3c8ede50d9c5</t>
  </si>
  <si>
    <t>LED100497</t>
  </si>
  <si>
    <t>Same amount + high description similarity 100% but date differs by 14 days</t>
  </si>
  <si>
    <t>21b1114b-b2dd-46c5-b71d-7b261bc4fb63</t>
  </si>
  <si>
    <t>LED100470</t>
  </si>
  <si>
    <t>UPI/43817</t>
  </si>
  <si>
    <t>UPI PAYMENT/43817</t>
  </si>
  <si>
    <t>d070801c-7401-4b6f-bc6f-33a8e5a840f1</t>
  </si>
  <si>
    <t>LED100471</t>
  </si>
  <si>
    <t>UPI/43811</t>
  </si>
  <si>
    <t>UPI PAYMENT/43811</t>
  </si>
  <si>
    <t>1b937e4f-f0f1-41d8-9dad-ec57557ffef6</t>
  </si>
  <si>
    <t>LED100769</t>
  </si>
  <si>
    <t>Description similarity 100% but amount differs by ₹50.00</t>
  </si>
  <si>
    <t>55b413a1-929e-418d-b353-f3867142573c</t>
  </si>
  <si>
    <t>LED100473</t>
  </si>
  <si>
    <t>UPI/43824</t>
  </si>
  <si>
    <t>UPI PAYMENT/43824</t>
  </si>
  <si>
    <t>a1143671-1045-46d8-8f37-fe367402e90e</t>
  </si>
  <si>
    <t>LED100474</t>
  </si>
  <si>
    <t>UPI/40168/</t>
  </si>
  <si>
    <t>UPI PAYMENT/40168/</t>
  </si>
  <si>
    <t>0da5a399-c646-4b72-aa52-8d009ca1a91c</t>
  </si>
  <si>
    <t>LED100475</t>
  </si>
  <si>
    <t>45778d12-35b5-412d-b6e4-ef3882626971</t>
  </si>
  <si>
    <t>LED100476</t>
  </si>
  <si>
    <t>UPI/4383</t>
  </si>
  <si>
    <t>UPI PAYMENT/4383</t>
  </si>
  <si>
    <t>2e32ecbb-f985-43d6-8993-a41220da1f0a</t>
  </si>
  <si>
    <t>LED100477</t>
  </si>
  <si>
    <t>UPI/43846</t>
  </si>
  <si>
    <t>UPI PAYMENT/43846</t>
  </si>
  <si>
    <t>7fa370c4-156e-413a-a692-e597f5ce0483</t>
  </si>
  <si>
    <t>LED100478</t>
  </si>
  <si>
    <t>Gpay BILL Payment</t>
  </si>
  <si>
    <t>GPAY BILL PAYMENT</t>
  </si>
  <si>
    <t>e785ff49-b468-4823-a5ef-e441e86f9b6f</t>
  </si>
  <si>
    <t>LED100479</t>
  </si>
  <si>
    <t>a52446ee-379a-4d3f-9ea2-b77924d94cb1</t>
  </si>
  <si>
    <t>LED100480</t>
  </si>
  <si>
    <t>UPI/43857/</t>
  </si>
  <si>
    <t>UPI PAYMENT/43857/</t>
  </si>
  <si>
    <t>4a553536-d496-4f81-9e10-ee18ecbc34dc</t>
  </si>
  <si>
    <t>LED100481</t>
  </si>
  <si>
    <t>UPI/43856/</t>
  </si>
  <si>
    <t>UPI PAYMENT/43856/</t>
  </si>
  <si>
    <t>3643d209-2c06-4e4c-870f-ba26700256c7</t>
  </si>
  <si>
    <t>LED100482</t>
  </si>
  <si>
    <t>8481b283-de2a-4f1d-aa70-ec139e19ddfb</t>
  </si>
  <si>
    <t>LED100535</t>
  </si>
  <si>
    <t>6387b594-6998-47c4-bc67-75f6d22c97c2</t>
  </si>
  <si>
    <t>LED100484</t>
  </si>
  <si>
    <t>UPI/43876</t>
  </si>
  <si>
    <t>UPI PAYMENT/43876</t>
  </si>
  <si>
    <t>61dc4e95-c640-4fb5-8497-5b76fc6ef8cc</t>
  </si>
  <si>
    <t>LED100485</t>
  </si>
  <si>
    <t>24da6ab1-cf94-447f-862f-04a7da71e23e</t>
  </si>
  <si>
    <t>LED100486</t>
  </si>
  <si>
    <t>UPI/40220/UP</t>
  </si>
  <si>
    <t>UPI PAYMENT/40220/UP</t>
  </si>
  <si>
    <t>2a1f7267-bfc4-418b-b545-639119d674e8</t>
  </si>
  <si>
    <t>LED100487</t>
  </si>
  <si>
    <t>c86f88f3-0dda-4247-a903-f66640ce38ec</t>
  </si>
  <si>
    <t>LED100488</t>
  </si>
  <si>
    <t>0746569b-5e27-437f-84aa-9f06e4286be7</t>
  </si>
  <si>
    <t>LED100489</t>
  </si>
  <si>
    <t>UPI/40246</t>
  </si>
  <si>
    <t>UPI PAYMENT/40246</t>
  </si>
  <si>
    <t>eef93922-2306-4b7d-93d5-c95986a33666</t>
  </si>
  <si>
    <t>LED100490</t>
  </si>
  <si>
    <t>1341bb31-78dc-4d05-88a7-a971235de080</t>
  </si>
  <si>
    <t>LED100491</t>
  </si>
  <si>
    <t>UPI/43923-</t>
  </si>
  <si>
    <t>UPI PAYMENT/43923-</t>
  </si>
  <si>
    <t>f489760e-afcc-45d5-9a73-9ce9d7c52f5f</t>
  </si>
  <si>
    <t>LED100492</t>
  </si>
  <si>
    <t>46c5404b-1418-423a-bd01-e4e4310461c5</t>
  </si>
  <si>
    <t>LED100493</t>
  </si>
  <si>
    <t>UPI/43933</t>
  </si>
  <si>
    <t>UPI PAYMENT/43933</t>
  </si>
  <si>
    <t>6a348480-54f6-4ee7-87bc-86a7312a5709</t>
  </si>
  <si>
    <t>LED100494</t>
  </si>
  <si>
    <t>UPI/40278</t>
  </si>
  <si>
    <t>UPI PAYMENT/40278</t>
  </si>
  <si>
    <t>c76f9685-7f8e-4bba-8477-1253137a3ef5</t>
  </si>
  <si>
    <t>LED100495</t>
  </si>
  <si>
    <t>UPI/40279</t>
  </si>
  <si>
    <t>UPI PAYMENT/40279</t>
  </si>
  <si>
    <t>1f8b3234-a7be-47e7-bfe6-b369a62c4a18</t>
  </si>
  <si>
    <t>LED100496</t>
  </si>
  <si>
    <t>31452e9f-03fd-4d51-aa53-e51ef763c2eb</t>
  </si>
  <si>
    <t>LED100469</t>
  </si>
  <si>
    <t>Description similarity 100% but amount differs by ₹0.30</t>
  </si>
  <si>
    <t>debc511b-ad48-4d6a-a7d6-07232fd917fe</t>
  </si>
  <si>
    <t>LED100498</t>
  </si>
  <si>
    <t>UPI/43941</t>
  </si>
  <si>
    <t>UPI PAYMENT/43941</t>
  </si>
  <si>
    <t>118471d8-da4d-4b27-bfea-94539b969998</t>
  </si>
  <si>
    <t>LED100499</t>
  </si>
  <si>
    <t>5bb081ab-1a92-4b2e-a6f4-2c9cc7580ce1</t>
  </si>
  <si>
    <t>LED100500</t>
  </si>
  <si>
    <t>9b39127d-c6b9-48df-a402-0e584deb0560</t>
  </si>
  <si>
    <t>LED100501</t>
  </si>
  <si>
    <t>UPI/40295/</t>
  </si>
  <si>
    <t>UPI PAYMENT/40295/</t>
  </si>
  <si>
    <t>d41d0c9b-b7a9-47d0-a10f-b26c69a5dbc1</t>
  </si>
  <si>
    <t>LED100502</t>
  </si>
  <si>
    <t>349f18e4-cd8c-48f3-b550-f2121e8aba84</t>
  </si>
  <si>
    <t>LED100503</t>
  </si>
  <si>
    <t>UPI/40300/</t>
  </si>
  <si>
    <t>UPI PAYMENT/40300/</t>
  </si>
  <si>
    <t>3de88f18-de2e-4291-91ff-e7074f11180e</t>
  </si>
  <si>
    <t>LED100504</t>
  </si>
  <si>
    <t>f0b28162-2bce-4103-b00d-aa1b80fd80c3</t>
  </si>
  <si>
    <t>LED100505</t>
  </si>
  <si>
    <t>UPI/40308</t>
  </si>
  <si>
    <t>UPI PAYMENT/40308</t>
  </si>
  <si>
    <t>f158a569-b980-4e45-a944-31b42a31d557</t>
  </si>
  <si>
    <t>LED100506</t>
  </si>
  <si>
    <t>73617a32-1890-46c5-bb78-b8a858d966fd</t>
  </si>
  <si>
    <t>LED100507</t>
  </si>
  <si>
    <t>UPI/43972</t>
  </si>
  <si>
    <t>UPI PAYMENT/43972</t>
  </si>
  <si>
    <t>7c8fce48-1a00-461b-b6e3-af37130eee0c</t>
  </si>
  <si>
    <t>LED100508</t>
  </si>
  <si>
    <t>UPI/43970/</t>
  </si>
  <si>
    <t>UPI PAYMENT/43970/</t>
  </si>
  <si>
    <t>809adb3c-d3ef-4b7a-b146-2802f3f35753</t>
  </si>
  <si>
    <t>LED100509</t>
  </si>
  <si>
    <t>UPI/43975</t>
  </si>
  <si>
    <t>UPI PAYMENT/43975</t>
  </si>
  <si>
    <t>08a34f7b-850e-457e-a038-0b000f4d6847</t>
  </si>
  <si>
    <t>LED100510</t>
  </si>
  <si>
    <t>4f8b69e5-2851-4253-8a0f-ecff15cc9e25</t>
  </si>
  <si>
    <t>LED100511</t>
  </si>
  <si>
    <t>cae6321d-8ab5-49f2-b02d-843cd3714362</t>
  </si>
  <si>
    <t>LED100512</t>
  </si>
  <si>
    <t>5188810000</t>
  </si>
  <si>
    <t>ce72ebe9-c56f-40b3-a370-c94123047f03</t>
  </si>
  <si>
    <t>LED100513</t>
  </si>
  <si>
    <t>UPI/40344/</t>
  </si>
  <si>
    <t>UPI PAYMENT/40344/</t>
  </si>
  <si>
    <t>cda774a4-0998-4448-b64b-d38c751b6046</t>
  </si>
  <si>
    <t>LED100514</t>
  </si>
  <si>
    <t>bf600bd4-ff26-4656-8075-1330fc2bfeab</t>
  </si>
  <si>
    <t>LED100515</t>
  </si>
  <si>
    <t>dffb7b0b-809d-4693-b9d3-39cb325ab763</t>
  </si>
  <si>
    <t>LED100516</t>
  </si>
  <si>
    <t>UPI/40340/</t>
  </si>
  <si>
    <t>UPI PAYMENT/40340/</t>
  </si>
  <si>
    <t>77909c14-8e91-4e22-8eb5-22d1a9c9fd70</t>
  </si>
  <si>
    <t>LED100517</t>
  </si>
  <si>
    <t>328ac14b-ef6c-458b-b092-dd9824a77f94</t>
  </si>
  <si>
    <t>LED100518</t>
  </si>
  <si>
    <t>UPI/40353</t>
  </si>
  <si>
    <t>UPI PAYMENT/40353</t>
  </si>
  <si>
    <t>88d1bfe6-2c26-4dd2-b0e7-cd5fb5c5ccae</t>
  </si>
  <si>
    <t>LED100519</t>
  </si>
  <si>
    <t>UPI/44024/</t>
  </si>
  <si>
    <t>UPI PAYMENT/44024/</t>
  </si>
  <si>
    <t>e7959102-13e1-47f3-a99f-347df1210bad</t>
  </si>
  <si>
    <t>LED100520</t>
  </si>
  <si>
    <t>UPI/44022/U</t>
  </si>
  <si>
    <t>UPI PAYMENT/44022/U</t>
  </si>
  <si>
    <t>467a3d65-2ad0-4f2c-b016-25c1663e8fb7</t>
  </si>
  <si>
    <t>LED100521</t>
  </si>
  <si>
    <t>1575967c-306e-4a3e-bc03-1a9be7cbdf23</t>
  </si>
  <si>
    <t>LED100522</t>
  </si>
  <si>
    <t>UPI/40379</t>
  </si>
  <si>
    <t>UPI PAYMENT/40379</t>
  </si>
  <si>
    <t>7b9eb3f7-923f-459a-a9d7-af5ee039bd7e</t>
  </si>
  <si>
    <t>LED100523</t>
  </si>
  <si>
    <t>UPI/44049</t>
  </si>
  <si>
    <t>UPI PAYMENT/44049</t>
  </si>
  <si>
    <t>ae8b77c8-30cb-4342-ad58-cc2f00e44242</t>
  </si>
  <si>
    <t>LED100524</t>
  </si>
  <si>
    <t>UPI/4404</t>
  </si>
  <si>
    <t>UPI PAYMENT/4404</t>
  </si>
  <si>
    <t>61b9360f-31da-4c9d-97ae-5ea710d1891b</t>
  </si>
  <si>
    <t>LED100525</t>
  </si>
  <si>
    <t>8ebd0800-7e9e-4590-832d-153baecaada8</t>
  </si>
  <si>
    <t>LED100526</t>
  </si>
  <si>
    <t>UPI/40397</t>
  </si>
  <si>
    <t>UPI PAYMENT/40397</t>
  </si>
  <si>
    <t>2b43e999-36ab-4f34-916c-9d86d25799cc</t>
  </si>
  <si>
    <t>LED100527</t>
  </si>
  <si>
    <t>7ce9315c-ed05-4556-b612-d0e08e5cb385</t>
  </si>
  <si>
    <t>LED100528</t>
  </si>
  <si>
    <t>UPI/40391</t>
  </si>
  <si>
    <t>UPI PAYMENT/40391</t>
  </si>
  <si>
    <t>95b1eec3-0171-4116-b682-4059d2a7bc24</t>
  </si>
  <si>
    <t>LED100529</t>
  </si>
  <si>
    <t>0a69922e-7224-4efd-9a72-3dcbd3aec1e3</t>
  </si>
  <si>
    <t>LED100530</t>
  </si>
  <si>
    <t>47c6ee84-d148-4fd1-805a-888e13d4634e</t>
  </si>
  <si>
    <t>LED100531</t>
  </si>
  <si>
    <t>UPI/40411</t>
  </si>
  <si>
    <t>UPI PAYMENT/40411</t>
  </si>
  <si>
    <t>d8feb565-b6d2-4762-92b6-56f8bd03bd31</t>
  </si>
  <si>
    <t>LED100532</t>
  </si>
  <si>
    <t>37a15083-777f-4d71-a2da-bc6572399071</t>
  </si>
  <si>
    <t>LED100533</t>
  </si>
  <si>
    <t>UPI/40423</t>
  </si>
  <si>
    <t>UPI PAYMENT/40423</t>
  </si>
  <si>
    <t>3e7727fd-f4f5-4979-ba30-1fb191e78ea0</t>
  </si>
  <si>
    <t>LED100534</t>
  </si>
  <si>
    <t>UPI/40426/</t>
  </si>
  <si>
    <t>UPI PAYMENT/40426/</t>
  </si>
  <si>
    <t>68b32c0e-caf8-4f3d-9f43-9a98020a9370</t>
  </si>
  <si>
    <t>LED100757</t>
  </si>
  <si>
    <t>4e097305-2394-4ddb-9194-b5ba2c4f1f3c</t>
  </si>
  <si>
    <t>LED100536</t>
  </si>
  <si>
    <t>UPI/4409</t>
  </si>
  <si>
    <t>UPI PAYMENT/4409</t>
  </si>
  <si>
    <t>155249a3-f94d-4d7d-a50c-a15707c31c56</t>
  </si>
  <si>
    <t>LED100537</t>
  </si>
  <si>
    <t>UPI/40437</t>
  </si>
  <si>
    <t>UPI PAYMENT/40437</t>
  </si>
  <si>
    <t>6984b44d-3a50-409f-a3ca-1194f0d8f98e</t>
  </si>
  <si>
    <t>LED100538</t>
  </si>
  <si>
    <t>3059a741-a85a-4cc2-a0f4-11780aafa0f6</t>
  </si>
  <si>
    <t>LED100539</t>
  </si>
  <si>
    <t>UPI/40448</t>
  </si>
  <si>
    <t>UPI PAYMENT/40448</t>
  </si>
  <si>
    <t>9e7a4dfb-6f70-4c0e-8d53-5c2aa1492cf7</t>
  </si>
  <si>
    <t>LED100540</t>
  </si>
  <si>
    <t>UPI/44103/</t>
  </si>
  <si>
    <t>UPI PAYMENT/44103/</t>
  </si>
  <si>
    <t>363c26a7-ebd0-4c0c-a36a-b6bed63cf0e3</t>
  </si>
  <si>
    <t>LED100541</t>
  </si>
  <si>
    <t>UPI/4410</t>
  </si>
  <si>
    <t>UPI PAYMENT/4410</t>
  </si>
  <si>
    <t>50e265b9-2f5e-4163-bdd0-d55a48a0a727</t>
  </si>
  <si>
    <t>LED100542</t>
  </si>
  <si>
    <t>760b87fd-0dfb-4eaf-a588-28a70a0fbb24</t>
  </si>
  <si>
    <t>LED100543</t>
  </si>
  <si>
    <t>UPI/40453/</t>
  </si>
  <si>
    <t>UPI PAYMENT/40453/</t>
  </si>
  <si>
    <t>97e01898-2b72-4fcc-9336-13bee9d494ac</t>
  </si>
  <si>
    <t>LED100544</t>
  </si>
  <si>
    <t>UPI/44115/</t>
  </si>
  <si>
    <t>UPI PAYMENT/44115/</t>
  </si>
  <si>
    <t>fc6dd8a6-6a87-4085-8758-da5587ccfe6c</t>
  </si>
  <si>
    <t>LED100545</t>
  </si>
  <si>
    <t>UPI/44112/</t>
  </si>
  <si>
    <t>UPI PAYMENT/44112/</t>
  </si>
  <si>
    <t>547f17dc-2d2c-4ccc-b95d-614ed96c2542</t>
  </si>
  <si>
    <t>LED100546</t>
  </si>
  <si>
    <t>UPI/44112</t>
  </si>
  <si>
    <t>UPI PAYMENT/44112</t>
  </si>
  <si>
    <t>b521bda5-63fd-4820-a488-87dcce7d18eb</t>
  </si>
  <si>
    <t>LED100547</t>
  </si>
  <si>
    <t>UPI/40465//U</t>
  </si>
  <si>
    <t>UPI PAYMENT/40465//U</t>
  </si>
  <si>
    <t>39510c4f-f246-4921-a15e-d22d663c1f50</t>
  </si>
  <si>
    <t>LED100548</t>
  </si>
  <si>
    <t>UPI/4412</t>
  </si>
  <si>
    <t>UPI PAYMENT/4412</t>
  </si>
  <si>
    <t>716027fa-f0f3-44d8-bb92-55d7762cd9fb</t>
  </si>
  <si>
    <t>LED100549</t>
  </si>
  <si>
    <t>UPI/40472</t>
  </si>
  <si>
    <t>UPI PAYMENT/40472</t>
  </si>
  <si>
    <t>cce59018-2488-43ca-aa86-d9ff212dd00e</t>
  </si>
  <si>
    <t>LED100550</t>
  </si>
  <si>
    <t>404ebe38-19f4-46fb-b243-1d5c19991d80</t>
  </si>
  <si>
    <t>LED100551</t>
  </si>
  <si>
    <t>UPI/44134</t>
  </si>
  <si>
    <t>UPI PAYMENT/44134</t>
  </si>
  <si>
    <t>c13cf27a-9082-4ed9-bc55-2aa2cd004082</t>
  </si>
  <si>
    <t>LED100552</t>
  </si>
  <si>
    <t>268af40a-ed4a-4149-bef1-f970b138f39f</t>
  </si>
  <si>
    <t>LED100553</t>
  </si>
  <si>
    <t>UPI/40484/</t>
  </si>
  <si>
    <t>UPI PAYMENT/40484/</t>
  </si>
  <si>
    <t>4561ad20-4ca2-4a37-b71a-dbce319c18a6</t>
  </si>
  <si>
    <t>LED100554</t>
  </si>
  <si>
    <t>d61c1b73-4e1e-4a4b-b099-4c8327dec7e8</t>
  </si>
  <si>
    <t>LED100555</t>
  </si>
  <si>
    <t>UPI/44160</t>
  </si>
  <si>
    <t>UPI PAYMENT/44160</t>
  </si>
  <si>
    <t>077bbc95-956c-4f2d-82cf-cacf04660222</t>
  </si>
  <si>
    <t>LED100556</t>
  </si>
  <si>
    <t>UPI/40501/</t>
  </si>
  <si>
    <t>UPI PAYMENT/40501/</t>
  </si>
  <si>
    <t>d758358b-e740-40d6-a65f-0b6d82a23718</t>
  </si>
  <si>
    <t>LED100557</t>
  </si>
  <si>
    <t>2b1ef787-d245-498e-9a80-5deef7e5fbf3</t>
  </si>
  <si>
    <t>LED100558</t>
  </si>
  <si>
    <t>a2ea20f3-98cc-4fdd-bdc5-482c09a70a28</t>
  </si>
  <si>
    <t>LED100559</t>
  </si>
  <si>
    <t>UPI/4417</t>
  </si>
  <si>
    <t>UPI PAYMENT/4417</t>
  </si>
  <si>
    <t>e402d2ed-3f56-4017-b072-e15dbe3ff156</t>
  </si>
  <si>
    <t>LED100560</t>
  </si>
  <si>
    <t>562e1a89-513e-4a1c-b585-9ca61edec1b0</t>
  </si>
  <si>
    <t>LED100561</t>
  </si>
  <si>
    <t>e976a032-cc2a-4722-aa49-3899c4aadbfd</t>
  </si>
  <si>
    <t>LED100562</t>
  </si>
  <si>
    <t>f4393fd4-814a-4c06-b9f3-cb0a6b555638</t>
  </si>
  <si>
    <t>LED100563</t>
  </si>
  <si>
    <t>UPI/44194</t>
  </si>
  <si>
    <t>UPI PAYMENT/44194</t>
  </si>
  <si>
    <t>5905637d-1510-4729-90b5-c8b29f8a2f57</t>
  </si>
  <si>
    <t>LED100564</t>
  </si>
  <si>
    <t>2117d0d3-a975-4c98-8ee9-593fc980872e</t>
  </si>
  <si>
    <t>LED100565</t>
  </si>
  <si>
    <t>fdb8846f-2141-4a94-afb9-bf0d660b403e</t>
  </si>
  <si>
    <t>LED100566</t>
  </si>
  <si>
    <t>39d0261e-e3a6-4b5b-b904-f5a574b2fd8c</t>
  </si>
  <si>
    <t>LED100567</t>
  </si>
  <si>
    <t>UPI/40543//U</t>
  </si>
  <si>
    <t>UPI PAYMENT/40543//U</t>
  </si>
  <si>
    <t>1a13197a-7581-4fe9-8df2-6ce1c3ab68d2</t>
  </si>
  <si>
    <t>LED100869</t>
  </si>
  <si>
    <t>Same amount + high description similarity 100% but date differs by 77 days</t>
  </si>
  <si>
    <t>7c4343de-fef1-4103-a67b-96359536988c</t>
  </si>
  <si>
    <t>LED100569</t>
  </si>
  <si>
    <t>76de83a7-ec01-4af0-8652-8b5825712cfc</t>
  </si>
  <si>
    <t>LED100570</t>
  </si>
  <si>
    <t>UPI/40552</t>
  </si>
  <si>
    <t>UPI PAYMENT/40552</t>
  </si>
  <si>
    <t>6b6c4e13-5aac-4518-a71b-f26c60a2a75d</t>
  </si>
  <si>
    <t>LED100571</t>
  </si>
  <si>
    <t>UPI/44219/-2ybl/Pa</t>
  </si>
  <si>
    <t>UPI PAYMENT/44219/-2YBL/PA</t>
  </si>
  <si>
    <t>a24223e8-7dd5-4bcc-8828-576bbd20077e</t>
  </si>
  <si>
    <t>LED100572</t>
  </si>
  <si>
    <t>UPI/40552//U</t>
  </si>
  <si>
    <t>UPI PAYMENT/40552//U</t>
  </si>
  <si>
    <t>9fe6046f-e43d-40dd-ac7b-d82f76c2e355</t>
  </si>
  <si>
    <t>LED100573</t>
  </si>
  <si>
    <t>UPI/40563</t>
  </si>
  <si>
    <t>UPI PAYMENT/40563</t>
  </si>
  <si>
    <t>d3ba77c6-0c56-498a-9fc2-2bc8b61800b4</t>
  </si>
  <si>
    <t>LED100574</t>
  </si>
  <si>
    <t>UPI/40564//U</t>
  </si>
  <si>
    <t>UPI PAYMENT/40564//U</t>
  </si>
  <si>
    <t>e8ce2f81-4214-4218-939d-6d5930874d98</t>
  </si>
  <si>
    <t>LED100575</t>
  </si>
  <si>
    <t>UPI/44224</t>
  </si>
  <si>
    <t>UPI PAYMENT/44224</t>
  </si>
  <si>
    <t>b9b53ed3-3f7f-49fb-bd7f-b79ef18b5882</t>
  </si>
  <si>
    <t>LED100576</t>
  </si>
  <si>
    <t>aa5b784e-f688-48fa-8dbd-3d6a39c30bac</t>
  </si>
  <si>
    <t>LED100577</t>
  </si>
  <si>
    <t>UPI/4422</t>
  </si>
  <si>
    <t>UPI PAYMENT/4422</t>
  </si>
  <si>
    <t>0959ae69-6542-4d98-a6a5-addc16ed8a2e</t>
  </si>
  <si>
    <t>LED100578</t>
  </si>
  <si>
    <t>UPI/44239</t>
  </si>
  <si>
    <t>UPI PAYMENT/44239</t>
  </si>
  <si>
    <t>cb3e84dd-a910-4a75-a81c-9b8fd8108fd9</t>
  </si>
  <si>
    <t>LED100579</t>
  </si>
  <si>
    <t>b2586b28-ae7f-4826-965d-282c0bc48d1b</t>
  </si>
  <si>
    <t>LED100580</t>
  </si>
  <si>
    <t>UPI/40597//U</t>
  </si>
  <si>
    <t>UPI PAYMENT/40597//U</t>
  </si>
  <si>
    <t>21384d30-e170-4c75-bd9d-c15b3f0479ed</t>
  </si>
  <si>
    <t>LED100581</t>
  </si>
  <si>
    <t>UPI/4425</t>
  </si>
  <si>
    <t>UPI PAYMENT/4425</t>
  </si>
  <si>
    <t>d2ba0a4e-dcd6-46fb-87f3-be44a3a569a5</t>
  </si>
  <si>
    <t>LED100582</t>
  </si>
  <si>
    <t>be18d1f7-6e51-4cbb-8549-b380008a41fa</t>
  </si>
  <si>
    <t>LED100583</t>
  </si>
  <si>
    <t>UPI/40602</t>
  </si>
  <si>
    <t>UPI PAYMENT/40602</t>
  </si>
  <si>
    <t>8762ab07-fefd-41fd-b8d7-3d3232acf374</t>
  </si>
  <si>
    <t>LED100584</t>
  </si>
  <si>
    <t>UPI/44268/-</t>
  </si>
  <si>
    <t>UPI PAYMENT/44268/-</t>
  </si>
  <si>
    <t>f81bb60c-6adc-4719-a457-91d2dd8231ab</t>
  </si>
  <si>
    <t>LED100585</t>
  </si>
  <si>
    <t>UPI/44272</t>
  </si>
  <si>
    <t>UPI PAYMENT/44272</t>
  </si>
  <si>
    <t>ff4cf795-4d04-435f-8499-c39c361e04f9</t>
  </si>
  <si>
    <t>LED100586</t>
  </si>
  <si>
    <t>UPI/40618/-P</t>
  </si>
  <si>
    <t>UPI PAYMENT/40618/-P</t>
  </si>
  <si>
    <t>0459f55e-d37d-46d5-ab22-384bbde0a291</t>
  </si>
  <si>
    <t>LED100587</t>
  </si>
  <si>
    <t>UPI/44283</t>
  </si>
  <si>
    <t>UPI PAYMENT/44283</t>
  </si>
  <si>
    <t>df9253c6-51a1-44c1-9037-7f73073ef3d5</t>
  </si>
  <si>
    <t>LED100588</t>
  </si>
  <si>
    <t>41680136-08c1-4b68-9061-d1b16433eb83</t>
  </si>
  <si>
    <t>LED100589</t>
  </si>
  <si>
    <t>UPI/40630</t>
  </si>
  <si>
    <t>UPI PAYMENT/40630</t>
  </si>
  <si>
    <t>ce328726-c42d-4af8-bb36-e3f6c52c780a</t>
  </si>
  <si>
    <t>LED100590</t>
  </si>
  <si>
    <t>47710eaf-c809-45b1-8bc3-887f7d0bc2a2</t>
  </si>
  <si>
    <t>LED100591</t>
  </si>
  <si>
    <t>UPI/40633</t>
  </si>
  <si>
    <t>UPI PAYMENT/40633</t>
  </si>
  <si>
    <t>ddb6d9e7-a185-41d8-bdf5-2018193c0e21</t>
  </si>
  <si>
    <t>LED100592</t>
  </si>
  <si>
    <t>UPI/44292</t>
  </si>
  <si>
    <t>UPI PAYMENT/44292</t>
  </si>
  <si>
    <t>2470f599-b47c-4ddc-b9bd-89149c28acdb</t>
  </si>
  <si>
    <t>LED100593</t>
  </si>
  <si>
    <t>0a895b35-b757-4b4a-97c3-2ec7fb404791</t>
  </si>
  <si>
    <t>LED100594</t>
  </si>
  <si>
    <t>UPI/4429</t>
  </si>
  <si>
    <t>UPI PAYMENT/4429</t>
  </si>
  <si>
    <t>93f862fe-63f1-4f6b-ada2-1f7fbdb9717b</t>
  </si>
  <si>
    <t>LED100595</t>
  </si>
  <si>
    <t>UPI/40635</t>
  </si>
  <si>
    <t>UPI PAYMENT/40635</t>
  </si>
  <si>
    <t>47808daf-cee5-47ae-b6be-8addd0856de9</t>
  </si>
  <si>
    <t>LED100596</t>
  </si>
  <si>
    <t>b306cfe4-e1ff-4d81-ba46-6f1b1762ec46</t>
  </si>
  <si>
    <t>LED100597</t>
  </si>
  <si>
    <t>UPI/44308</t>
  </si>
  <si>
    <t>UPI PAYMENT/44308</t>
  </si>
  <si>
    <t>3cc02484-fa72-4012-95d6-d8f61c3fa198</t>
  </si>
  <si>
    <t>LED100598</t>
  </si>
  <si>
    <t>UPI/40640/U</t>
  </si>
  <si>
    <t>UPI PAYMENT/40640/U</t>
  </si>
  <si>
    <t>45f0884d-d67a-4e6d-9ecb-d6fd20ae6720</t>
  </si>
  <si>
    <t>LED100599</t>
  </si>
  <si>
    <t>6b0c4066-498c-40cb-b797-b7619f6d154b</t>
  </si>
  <si>
    <t>LED100600</t>
  </si>
  <si>
    <t>UPI/44306</t>
  </si>
  <si>
    <t>UPI PAYMENT/44306</t>
  </si>
  <si>
    <t>5d78ab92-3f74-4e01-855a-52c90070705e</t>
  </si>
  <si>
    <t>LED100601</t>
  </si>
  <si>
    <t>UPI/44301/</t>
  </si>
  <si>
    <t>UPI PAYMENT/44301/</t>
  </si>
  <si>
    <t>d96af22f-b6aa-4d88-9850-d4334015e1a1</t>
  </si>
  <si>
    <t>LED100602</t>
  </si>
  <si>
    <t>UPI/44304</t>
  </si>
  <si>
    <t>UPI PAYMENT/44304</t>
  </si>
  <si>
    <t>54a5ad39-1ba0-4a81-8eea-631e0b5ba234</t>
  </si>
  <si>
    <t>LED100603</t>
  </si>
  <si>
    <t>6a0df95a-67ff-4421-ac44-dedfb7142ec0</t>
  </si>
  <si>
    <t>LED100604</t>
  </si>
  <si>
    <t>c401dde9-6473-4b2e-aea7-fdfb985796ba</t>
  </si>
  <si>
    <t>LED100605</t>
  </si>
  <si>
    <t>93d3fab1-dd94-43d3-bddc-51081ccb90b3</t>
  </si>
  <si>
    <t>LED100606</t>
  </si>
  <si>
    <t>UPI/40664</t>
  </si>
  <si>
    <t>UPI PAYMENT/40664</t>
  </si>
  <si>
    <t>33a1cf04-ddbe-41d4-951f-633e855cdba3</t>
  </si>
  <si>
    <t>LED100607</t>
  </si>
  <si>
    <t>UPI/44325</t>
  </si>
  <si>
    <t>UPI PAYMENT/44325</t>
  </si>
  <si>
    <t>c3f1f389-51b9-483d-a8e8-aa8c6ca9ca29</t>
  </si>
  <si>
    <t>LED100608</t>
  </si>
  <si>
    <t>UPI/44328/</t>
  </si>
  <si>
    <t>UPI PAYMENT/44328/</t>
  </si>
  <si>
    <t>260b0276-87f2-44b1-bbb0-6716e3a081ac</t>
  </si>
  <si>
    <t>LED100609</t>
  </si>
  <si>
    <t>UPI/44323/a</t>
  </si>
  <si>
    <t>UPI PAYMENT/44323/A</t>
  </si>
  <si>
    <t>f6b6ca0d-5449-4012-8397-db10fba6fdc5</t>
  </si>
  <si>
    <t>LED100610</t>
  </si>
  <si>
    <t>fca1fae7-6068-481d-a250-5ddf8f3fb6e8</t>
  </si>
  <si>
    <t>LED100611</t>
  </si>
  <si>
    <t>UPI/4432</t>
  </si>
  <si>
    <t>UPI PAYMENT/4432</t>
  </si>
  <si>
    <t>0362ec16-2086-46cb-a139-93d985922644</t>
  </si>
  <si>
    <t>LED100612</t>
  </si>
  <si>
    <t>UPI/40675/</t>
  </si>
  <si>
    <t>UPI PAYMENT/40675/</t>
  </si>
  <si>
    <t>95752022-958b-4366-83c6-f73b02729b1f</t>
  </si>
  <si>
    <t>LED100613</t>
  </si>
  <si>
    <t>436348d2-b929-4920-a467-6652d7d83b11</t>
  </si>
  <si>
    <t>LED100614</t>
  </si>
  <si>
    <t>fc243606-81bf-4c65-bd3e-59b6b61803b0</t>
  </si>
  <si>
    <t>LED100615</t>
  </si>
  <si>
    <t>UPI/44340</t>
  </si>
  <si>
    <t>UPI PAYMENT/44340</t>
  </si>
  <si>
    <t>2ae8e8f3-ec5a-4e13-a0f6-2c6ea927c5ef</t>
  </si>
  <si>
    <t>LED100616</t>
  </si>
  <si>
    <t>3c3c3478-b858-4753-95f7-e35212ed5234</t>
  </si>
  <si>
    <t>LED100617</t>
  </si>
  <si>
    <t>UPI/44351</t>
  </si>
  <si>
    <t>UPI PAYMENT/44351</t>
  </si>
  <si>
    <t>66fe3137-8eb3-4a1c-9ea0-6eef9b9192bd</t>
  </si>
  <si>
    <t>LED100618</t>
  </si>
  <si>
    <t>UPI/40696</t>
  </si>
  <si>
    <t>UPI PAYMENT/40696</t>
  </si>
  <si>
    <t>98754b97-26a8-4001-9dd9-50882881f4b4</t>
  </si>
  <si>
    <t>LED100619</t>
  </si>
  <si>
    <t>ba8ac0f2-7161-460d-96d1-a76c01939731</t>
  </si>
  <si>
    <t>LED100620</t>
  </si>
  <si>
    <t>d56ac532-fbf2-4101-8625-64df0e39c679</t>
  </si>
  <si>
    <t>LED100621</t>
  </si>
  <si>
    <t>UPI/40714/</t>
  </si>
  <si>
    <t>UPI PAYMENT/40714/</t>
  </si>
  <si>
    <t>8f445b17-73be-41f5-8bf2-ea2d84374f5d</t>
  </si>
  <si>
    <t>LED100622</t>
  </si>
  <si>
    <t>e68fd2fa-6961-4432-8b5d-8eb6da045406</t>
  </si>
  <si>
    <t>LED100623</t>
  </si>
  <si>
    <t>5532db55-3191-4e9f-abcd-c34908dc09d2</t>
  </si>
  <si>
    <t>LED100624</t>
  </si>
  <si>
    <t>UPI/44399</t>
  </si>
  <si>
    <t>UPI PAYMENT/44399</t>
  </si>
  <si>
    <t>5a056440-1410-4c5a-916f-d182fb72fbf4</t>
  </si>
  <si>
    <t>LED100625</t>
  </si>
  <si>
    <t>8744a935-c9c8-4bef-a7e9-86fc94cd21a8</t>
  </si>
  <si>
    <t>LED100626</t>
  </si>
  <si>
    <t>UPI/40740</t>
  </si>
  <si>
    <t>UPI PAYMENT/40740</t>
  </si>
  <si>
    <t>f38f3e02-7a59-4fcf-bbf7-00b3948b0d77</t>
  </si>
  <si>
    <t>LED100627</t>
  </si>
  <si>
    <t>UPI/44401</t>
  </si>
  <si>
    <t>UPI PAYMENT/44401</t>
  </si>
  <si>
    <t>ef1a6f46-94c8-4026-a360-91d0c6658fe4</t>
  </si>
  <si>
    <t>LED100628</t>
  </si>
  <si>
    <t>UPI/44404/</t>
  </si>
  <si>
    <t>UPI PAYMENT/44404/</t>
  </si>
  <si>
    <t>9332a1ae-6a36-46da-8642-b73c5e7fd1d7</t>
  </si>
  <si>
    <t>LED100629</t>
  </si>
  <si>
    <t>03f8329f-77fc-493a-98a8-e39598a1ba6d</t>
  </si>
  <si>
    <t>LED100630</t>
  </si>
  <si>
    <t>0f043ecc-3aeb-44a3-a79f-56c9c276126f</t>
  </si>
  <si>
    <t>LED100631</t>
  </si>
  <si>
    <t>aefcdc88-ef11-44d8-bc6b-36eea768c42d</t>
  </si>
  <si>
    <t>LED100632</t>
  </si>
  <si>
    <t>UPI/44416</t>
  </si>
  <si>
    <t>UPI PAYMENT/44416</t>
  </si>
  <si>
    <t>190db62e-68de-419b-8145-9827715b4a2c</t>
  </si>
  <si>
    <t>LED100633</t>
  </si>
  <si>
    <t>UPI/40754</t>
  </si>
  <si>
    <t>UPI PAYMENT/40754</t>
  </si>
  <si>
    <t>efe8ec9c-118e-4d64-b5b7-2245c31a541a</t>
  </si>
  <si>
    <t>LED100634</t>
  </si>
  <si>
    <t>UPI/44412</t>
  </si>
  <si>
    <t>UPI PAYMENT/44412</t>
  </si>
  <si>
    <t>469a9e31-c604-43a3-804a-4a065fa40981</t>
  </si>
  <si>
    <t>LED100635</t>
  </si>
  <si>
    <t>7d6b1ec0-0940-4f18-a559-c54b33c9d152</t>
  </si>
  <si>
    <t>LED100636</t>
  </si>
  <si>
    <t>f469aadc-068d-4845-8c97-e4ce775231a1</t>
  </si>
  <si>
    <t>LED100637</t>
  </si>
  <si>
    <t>bc8eae11-ce87-4d53-a375-425b7a069146</t>
  </si>
  <si>
    <t>LED100638</t>
  </si>
  <si>
    <t>313bb93b-e4ba-46df-90b3-712075050537</t>
  </si>
  <si>
    <t>LED100639</t>
  </si>
  <si>
    <t>UPI/40770</t>
  </si>
  <si>
    <t>UPI PAYMENT/40770</t>
  </si>
  <si>
    <t>4bd90e4b-af6c-4e50-b3ff-8581ec810545</t>
  </si>
  <si>
    <t>LED100640</t>
  </si>
  <si>
    <t>a4faed24-6ce4-4217-aa69-a7c32a52807a</t>
  </si>
  <si>
    <t>LED100641</t>
  </si>
  <si>
    <t>98d7c60c-6e18-46c6-9de5-08d369c95123</t>
  </si>
  <si>
    <t>LED100642</t>
  </si>
  <si>
    <t>UPI/40788</t>
  </si>
  <si>
    <t>UPI PAYMENT/40788</t>
  </si>
  <si>
    <t>9c68ab5c-e8e1-460e-8d80-c0c3968e9d30</t>
  </si>
  <si>
    <t>LED100643</t>
  </si>
  <si>
    <t>be13eda8-1963-422d-bb1c-30151ccf176a</t>
  </si>
  <si>
    <t>LED100644</t>
  </si>
  <si>
    <t>a204f520-c876-4853-9dd0-fd6f8856e234</t>
  </si>
  <si>
    <t>LED100645</t>
  </si>
  <si>
    <t>UPI/44458</t>
  </si>
  <si>
    <t>UPI PAYMENT/44458</t>
  </si>
  <si>
    <t>6e72467f-3721-48ea-9b48-461dfe1f88b1</t>
  </si>
  <si>
    <t>LED100646</t>
  </si>
  <si>
    <t>ad0d873d-e298-4bbc-a180-5bc3405ca1c9</t>
  </si>
  <si>
    <t>LED100647</t>
  </si>
  <si>
    <t>299555c9-77b1-4b40-95bc-344f4dd2a4c8</t>
  </si>
  <si>
    <t>LED100648</t>
  </si>
  <si>
    <t>7d7fc9ef-04b8-4bd9-9c9c-d0004c7e80a8</t>
  </si>
  <si>
    <t>LED100649</t>
  </si>
  <si>
    <t>UPI/44465</t>
  </si>
  <si>
    <t>UPI PAYMENT/44465</t>
  </si>
  <si>
    <t>16b89c73-9259-4655-834e-7434b64b814d</t>
  </si>
  <si>
    <t>LED100650</t>
  </si>
  <si>
    <t>UPI/40806</t>
  </si>
  <si>
    <t>UPI PAYMENT/40806</t>
  </si>
  <si>
    <t>07d32ae8-a744-4320-b8bb-e394d9a60030</t>
  </si>
  <si>
    <t>LED100651</t>
  </si>
  <si>
    <t>UPI/40804</t>
  </si>
  <si>
    <t>UPI PAYMENT/40804</t>
  </si>
  <si>
    <t>fe452049-1057-4837-8d1b-069c2658aa80</t>
  </si>
  <si>
    <t>LED100652</t>
  </si>
  <si>
    <t>508c73b9-db53-4a7c-80c7-fe3829cacf0c</t>
  </si>
  <si>
    <t>LED100653</t>
  </si>
  <si>
    <t>UPI/44470</t>
  </si>
  <si>
    <t>UPI PAYMENT/44470</t>
  </si>
  <si>
    <t>764b99fb-ade2-434e-80d8-e79d1dcdb15b</t>
  </si>
  <si>
    <t>LED100654</t>
  </si>
  <si>
    <t>Description similarity 100% but amount differs by ₹0.25</t>
  </si>
  <si>
    <t>00cac92b-da3e-4ba7-83f4-10e060a1d03f</t>
  </si>
  <si>
    <t>LED100655</t>
  </si>
  <si>
    <t>50c37c64-7cce-4928-bfd9-724014a1b6b7</t>
  </si>
  <si>
    <t>LED100656</t>
  </si>
  <si>
    <t>UPI/4448</t>
  </si>
  <si>
    <t>UPI PAYMENT/4448</t>
  </si>
  <si>
    <t>e83d17d0-3ef4-4381-83ce-92a38212fdac</t>
  </si>
  <si>
    <t>LED100657</t>
  </si>
  <si>
    <t>da240577-8841-4712-9479-8816122ea3c3</t>
  </si>
  <si>
    <t>LED100658</t>
  </si>
  <si>
    <t>UPI/40821</t>
  </si>
  <si>
    <t>UPI PAYMENT/40821</t>
  </si>
  <si>
    <t>d0a961ad-fecd-41e7-b06a-5df0258bf566</t>
  </si>
  <si>
    <t>LED100659</t>
  </si>
  <si>
    <t>3177e226-acae-4ec3-8843-3874b4361d5c</t>
  </si>
  <si>
    <t>LED100660</t>
  </si>
  <si>
    <t>5f86c92a-4e28-4a3d-aa31-7be396663f5b</t>
  </si>
  <si>
    <t>LED100661</t>
  </si>
  <si>
    <t>df48ddbf-f64d-456c-9e25-41a0b42687e9</t>
  </si>
  <si>
    <t>LED100662</t>
  </si>
  <si>
    <t>UPI/40846/-2</t>
  </si>
  <si>
    <t>UPI PAYMENT/40846/-2</t>
  </si>
  <si>
    <t>b59f667d-f903-4bf0-97c4-e977869adc2b</t>
  </si>
  <si>
    <t>LED100663</t>
  </si>
  <si>
    <t>UPI/4084</t>
  </si>
  <si>
    <t>UPI PAYMENT/4084</t>
  </si>
  <si>
    <t>abab07fe-0d91-45b4-89d2-8842b9306dfb</t>
  </si>
  <si>
    <t>LED100664</t>
  </si>
  <si>
    <t>UPI/44505</t>
  </si>
  <si>
    <t>UPI PAYMENT/44505</t>
  </si>
  <si>
    <t>26b6b56a-c7d5-4ec4-86fc-3a6ca3978eba</t>
  </si>
  <si>
    <t>LED100665</t>
  </si>
  <si>
    <t>UPI/40840</t>
  </si>
  <si>
    <t>UPI PAYMENT/40840</t>
  </si>
  <si>
    <t>4f2fc8cc-599c-4ffa-b157-e30f44ed18c6</t>
  </si>
  <si>
    <t>LED100666</t>
  </si>
  <si>
    <t>19ea4502-0cb0-484f-b995-03cf27b0cd6e</t>
  </si>
  <si>
    <t>LED100667</t>
  </si>
  <si>
    <t>UPI/4451</t>
  </si>
  <si>
    <t>UPI PAYMENT/4451</t>
  </si>
  <si>
    <t>0de79a71-5a6b-4a07-987d-5e775639811e</t>
  </si>
  <si>
    <t>LED100988</t>
  </si>
  <si>
    <t>Description similarity 100% but amount differs by ₹221.90</t>
  </si>
  <si>
    <t>fff28fb6-5163-4ca5-aa89-8cbc53034790</t>
  </si>
  <si>
    <t>LED100669</t>
  </si>
  <si>
    <t>UPI/40861</t>
  </si>
  <si>
    <t>UPI PAYMENT/40861</t>
  </si>
  <si>
    <t>0955a422-1f1f-401e-8836-5e9efc1c1a42</t>
  </si>
  <si>
    <t>LED100670</t>
  </si>
  <si>
    <t>UPI/44535</t>
  </si>
  <si>
    <t>UPI PAYMENT/44535</t>
  </si>
  <si>
    <t>4aba3c22-3f45-4194-8dc2-885cb24cab0e</t>
  </si>
  <si>
    <t>LED100671</t>
  </si>
  <si>
    <t>e72ca825-8866-402c-a05b-cf0f7cad5a84</t>
  </si>
  <si>
    <t>LED100672</t>
  </si>
  <si>
    <t>UPI/EAZYPAY</t>
  </si>
  <si>
    <t>UPI PAYMENT/EAZYPAY</t>
  </si>
  <si>
    <t>8a0bc213-13a3-4f10-9c69-dd5ca1a1f985</t>
  </si>
  <si>
    <t>LED100673</t>
  </si>
  <si>
    <t>c9b1f653-377c-4d55-9de0-6515d8ac1093</t>
  </si>
  <si>
    <t>LED100674</t>
  </si>
  <si>
    <t>6030242a-7557-4afd-9054-02085fbd32d2</t>
  </si>
  <si>
    <t>LED100675</t>
  </si>
  <si>
    <t>b628fdc3-476b-44aa-8830-92e25a4727ab</t>
  </si>
  <si>
    <t>LED100676</t>
  </si>
  <si>
    <t>UPI/44544</t>
  </si>
  <si>
    <t>UPI PAYMENT/44544</t>
  </si>
  <si>
    <t>53d7e363-1b51-4239-9f25-7b50dc61c822</t>
  </si>
  <si>
    <t>LED100677</t>
  </si>
  <si>
    <t>UPI/40883</t>
  </si>
  <si>
    <t>UPI PAYMENT/40883</t>
  </si>
  <si>
    <t>1e07f769-eae0-4b00-b474-f0b2c3c8b3a9</t>
  </si>
  <si>
    <t>LED100678</t>
  </si>
  <si>
    <t>UPI/4454</t>
  </si>
  <si>
    <t>UPI PAYMENT/4454</t>
  </si>
  <si>
    <t>d23a4bf4-e4b2-462b-b793-687de9e958fe</t>
  </si>
  <si>
    <t>LED100679</t>
  </si>
  <si>
    <t>cc5842ed-918f-4cc6-96ba-c07cd8ddbdaa</t>
  </si>
  <si>
    <t>LED100680</t>
  </si>
  <si>
    <t>c3646735-a4fc-4856-9023-730fa71e7992</t>
  </si>
  <si>
    <t>LED100681</t>
  </si>
  <si>
    <t>UPI/40891</t>
  </si>
  <si>
    <t>UPI PAYMENT/40891</t>
  </si>
  <si>
    <t>b4c75e0f-9aaf-4d34-a1a8-49ef5752c3bc</t>
  </si>
  <si>
    <t>LED100682</t>
  </si>
  <si>
    <t>fa5e8f02-f34d-45d3-abc7-8aeacc50b5bc</t>
  </si>
  <si>
    <t>LED100683</t>
  </si>
  <si>
    <t>842a8f38-d8b0-4a7e-8aa4-f13bc5d2c5c1</t>
  </si>
  <si>
    <t>LED100684</t>
  </si>
  <si>
    <t>8f10df08-f90e-439d-83b7-1095c0083eff</t>
  </si>
  <si>
    <t>LED100685</t>
  </si>
  <si>
    <t>UPI/44561</t>
  </si>
  <si>
    <t>UPI PAYMENT/44561</t>
  </si>
  <si>
    <t>53a022f9-d213-44bc-9a29-f6e7a6330a02</t>
  </si>
  <si>
    <t>LED100686</t>
  </si>
  <si>
    <t>e8dc38f4-bc2b-4ad8-a22a-914e0c8c5b99</t>
  </si>
  <si>
    <t>LED100687</t>
  </si>
  <si>
    <t>faacddaa-6100-4529-8eda-f40d27d687f8</t>
  </si>
  <si>
    <t>LED100688</t>
  </si>
  <si>
    <t>UPI/40914/</t>
  </si>
  <si>
    <t>UPI PAYMENT/40914/</t>
  </si>
  <si>
    <t>be2eb8dd-c96e-4319-9477-c3d63755b7c1</t>
  </si>
  <si>
    <t>LED100689</t>
  </si>
  <si>
    <t>005c84fb-14b4-4970-b712-f80305df0996</t>
  </si>
  <si>
    <t>LED100690</t>
  </si>
  <si>
    <t>df528a6b-d779-4129-8580-066666bc8023</t>
  </si>
  <si>
    <t>LED100691</t>
  </si>
  <si>
    <t>ab4cc569-2be7-44ed-b583-f85d70c56b0a</t>
  </si>
  <si>
    <t>LED100692</t>
  </si>
  <si>
    <t>UPI/40912</t>
  </si>
  <si>
    <t>UPI PAYMENT/40912</t>
  </si>
  <si>
    <t>b83a0ca7-aa35-40ac-a728-29dcaf674b87</t>
  </si>
  <si>
    <t>LED100693</t>
  </si>
  <si>
    <t>0573bfbc-7117-40dc-a570-b23600b18af4</t>
  </si>
  <si>
    <t>LED100694</t>
  </si>
  <si>
    <t>UPI/CLOTHFASHION</t>
  </si>
  <si>
    <t>UPI PAYMENT/CLOTHFASHION</t>
  </si>
  <si>
    <t>9b1f60ea-af42-4fc0-9e3f-8f17f383fecd</t>
  </si>
  <si>
    <t>LED100695</t>
  </si>
  <si>
    <t>7bae1b38-451a-4d08-b35e-ac4f70c5ab02</t>
  </si>
  <si>
    <t>LED100696</t>
  </si>
  <si>
    <t>UPI/40925</t>
  </si>
  <si>
    <t>UPI PAYMENT/40925</t>
  </si>
  <si>
    <t>9bec421b-435a-44b6-9f98-0d11f9e1d134</t>
  </si>
  <si>
    <t>LED100697</t>
  </si>
  <si>
    <t>UPI/44588</t>
  </si>
  <si>
    <t>UPI PAYMENT/44588</t>
  </si>
  <si>
    <t>2c92002f-ccac-4af8-8763-75e570f2f5f2</t>
  </si>
  <si>
    <t>LED100698</t>
  </si>
  <si>
    <t>UPI/4458</t>
  </si>
  <si>
    <t>UPI PAYMENT/4458</t>
  </si>
  <si>
    <t>2562f2e7-2b2d-4a0d-8163-afb075006348</t>
  </si>
  <si>
    <t>LED100699</t>
  </si>
  <si>
    <t>UPI/40921</t>
  </si>
  <si>
    <t>UPI PAYMENT/40921</t>
  </si>
  <si>
    <t>ac7e1149-a292-4252-ad5b-d4a1155864c5</t>
  </si>
  <si>
    <t>LED100700</t>
  </si>
  <si>
    <t>92fc8952-00af-49d0-820c-e5adc5e222ab</t>
  </si>
  <si>
    <t>LED100701</t>
  </si>
  <si>
    <t>UPI/44562</t>
  </si>
  <si>
    <t>UPI PAYMENT/44562</t>
  </si>
  <si>
    <t>eb264545-fd4c-461a-b7b9-dda3d6e7e927</t>
  </si>
  <si>
    <t>LED100702</t>
  </si>
  <si>
    <t>UPI/4093</t>
  </si>
  <si>
    <t>UPI PAYMENT/4093</t>
  </si>
  <si>
    <t>eb279db8-edeb-47af-b20d-81475b5b2ce6</t>
  </si>
  <si>
    <t>LED100703</t>
  </si>
  <si>
    <t>2df8c2fa-e6f9-400d-b407-58c3f4d11f2a</t>
  </si>
  <si>
    <t>LED100704</t>
  </si>
  <si>
    <t>UPI/40959</t>
  </si>
  <si>
    <t>UPI PAYMENT/40959</t>
  </si>
  <si>
    <t>80c36ee5-c2c8-4f06-becc-312415bb6d17</t>
  </si>
  <si>
    <t>LED100705</t>
  </si>
  <si>
    <t>UPI/40954</t>
  </si>
  <si>
    <t>UPI PAYMENT/40954</t>
  </si>
  <si>
    <t>01fc58d3-6435-466d-88ee-5db8532ad7c2</t>
  </si>
  <si>
    <t>LED100706</t>
  </si>
  <si>
    <t>27d1a385-d5f2-463d-9bfa-e5fe17d6b0f4</t>
  </si>
  <si>
    <t>LED100707</t>
  </si>
  <si>
    <t>6f4d5624-0af7-40b2-8d34-e5c95f63c830</t>
  </si>
  <si>
    <t>LED100952</t>
  </si>
  <si>
    <t>Same amount + high description similarity 100% but date differs by 50 days</t>
  </si>
  <si>
    <t>e824e557-4782-48ec-96a3-b50e816aefe6</t>
  </si>
  <si>
    <t>LED100709</t>
  </si>
  <si>
    <t>UPI/40968</t>
  </si>
  <si>
    <t>UPI PAYMENT/40968</t>
  </si>
  <si>
    <t>f1521dfa-a412-4ca2-9ff5-2a1a06fab4b3</t>
  </si>
  <si>
    <t>LED100715</t>
  </si>
  <si>
    <t>924e81d9-cf72-4dcf-a36e-3d0b5ca57990</t>
  </si>
  <si>
    <t>LED100711</t>
  </si>
  <si>
    <t>1dd3067a-0912-4071-84c7-4ca22f24dbea</t>
  </si>
  <si>
    <t>LED100712</t>
  </si>
  <si>
    <t>UPI/40977/</t>
  </si>
  <si>
    <t>UPI PAYMENT/40977/</t>
  </si>
  <si>
    <t>430ffb27-227a-45a4-ae1d-589f6202c8cb</t>
  </si>
  <si>
    <t>LED100713</t>
  </si>
  <si>
    <t>UPI/40976</t>
  </si>
  <si>
    <t>UPI PAYMENT/40976</t>
  </si>
  <si>
    <t>da6725b1-f797-4bd3-9836-a437064a1aac</t>
  </si>
  <si>
    <t>LED100714</t>
  </si>
  <si>
    <t>UPI/40970/</t>
  </si>
  <si>
    <t>UPI PAYMENT/40970/</t>
  </si>
  <si>
    <t>0f95d184-2f54-4906-85d3-f44806965243</t>
  </si>
  <si>
    <t>LED100722</t>
  </si>
  <si>
    <t>bcb05dbe-7eac-43d3-ad3b-ff323366be9a</t>
  </si>
  <si>
    <t>LED100716</t>
  </si>
  <si>
    <t>4b7bbdfe-023d-4cbc-98ff-003e65c09a37</t>
  </si>
  <si>
    <t>LED100717</t>
  </si>
  <si>
    <t>1ebf1279-8c51-4c61-a1bd-2bcc2a4de239</t>
  </si>
  <si>
    <t>LED100718</t>
  </si>
  <si>
    <t>a46708c7-46bf-4b66-bb57-650058b62a76</t>
  </si>
  <si>
    <t>LED100719</t>
  </si>
  <si>
    <t>UPI/40982/</t>
  </si>
  <si>
    <t>UPI PAYMENT/40982/</t>
  </si>
  <si>
    <t>fe997736-a700-4544-9a15-be0a6e5ee1d7</t>
  </si>
  <si>
    <t>LED100720</t>
  </si>
  <si>
    <t>UPI/40986</t>
  </si>
  <si>
    <t>UPI PAYMENT/40986</t>
  </si>
  <si>
    <t>703d7b8e-bfef-4b24-b685-cc1a5f9521d1</t>
  </si>
  <si>
    <t>LED100721</t>
  </si>
  <si>
    <t>UPI/40989/</t>
  </si>
  <si>
    <t>UPI PAYMENT/40989/</t>
  </si>
  <si>
    <t>4eab974e-3558-4c51-996c-c108ad60ea3a</t>
  </si>
  <si>
    <t>LED100730</t>
  </si>
  <si>
    <t>e86c8bcc-4185-47d3-b914-37c867deca5f</t>
  </si>
  <si>
    <t>LED100723</t>
  </si>
  <si>
    <t>UPI/4464</t>
  </si>
  <si>
    <t>UPI PAYMENT/4464</t>
  </si>
  <si>
    <t>94b76a54-2e1c-4a80-af58-f1b189d34d50</t>
  </si>
  <si>
    <t>LED100724</t>
  </si>
  <si>
    <t>eb8b9362-13ba-4748-b96c-7859e182e71d</t>
  </si>
  <si>
    <t>LED100725</t>
  </si>
  <si>
    <t>Description similarity 100% but amount differs by ₹26.40</t>
  </si>
  <si>
    <t>6ffa1c41-563b-4ecc-a5c0-783cf5ac225a</t>
  </si>
  <si>
    <t>LED100726</t>
  </si>
  <si>
    <t>9f046c8e-64c3-4523-8f05-d1019f79d618</t>
  </si>
  <si>
    <t>LED100727</t>
  </si>
  <si>
    <t>UPI/44663</t>
  </si>
  <si>
    <t>UPI PAYMENT/44663</t>
  </si>
  <si>
    <t>12572708-6315-4ff5-a52c-a45b81491cc7</t>
  </si>
  <si>
    <t>LED100728</t>
  </si>
  <si>
    <t>UPI/41001</t>
  </si>
  <si>
    <t>UPI PAYMENT/41001</t>
  </si>
  <si>
    <t>Description similarity 100% but amount differs by ₹2.60</t>
  </si>
  <si>
    <t>2b745460-472a-446f-8826-28559ec27571</t>
  </si>
  <si>
    <t>LED100729</t>
  </si>
  <si>
    <t>245bc332-d24e-4d96-867f-3ae8e50ee119</t>
  </si>
  <si>
    <t>LED100734</t>
  </si>
  <si>
    <t>dd474d55-d822-446e-8453-d5909149b760</t>
  </si>
  <si>
    <t>LED100731</t>
  </si>
  <si>
    <t>UPI/4466</t>
  </si>
  <si>
    <t>UPI PAYMENT/4466</t>
  </si>
  <si>
    <t>ad13ed90-1000-48b0-8fde-73046469eb27</t>
  </si>
  <si>
    <t>LED100732</t>
  </si>
  <si>
    <t>33187176-bca9-420f-9323-3f1486f53f11</t>
  </si>
  <si>
    <t>LED100733</t>
  </si>
  <si>
    <t>e55066e8-f39b-45e6-b250-f21d33d55a5f</t>
  </si>
  <si>
    <t>LED100739</t>
  </si>
  <si>
    <t>3dce87cb-b074-437c-8ec3-f319eefd3b9d</t>
  </si>
  <si>
    <t>LED100735</t>
  </si>
  <si>
    <t>UPI/4467</t>
  </si>
  <si>
    <t>UPI PAYMENT/4467</t>
  </si>
  <si>
    <t>Description similarity 100% but amount differs by ₹1.00</t>
  </si>
  <si>
    <t>1b46bf5a-787b-4f3b-bf86-c83335dbaaf2</t>
  </si>
  <si>
    <t>LED100736</t>
  </si>
  <si>
    <t>cedd9244-e391-4620-a617-cb74a5dcc3f2</t>
  </si>
  <si>
    <t>LED100737</t>
  </si>
  <si>
    <t>402447c4-3d83-4ffc-a44e-711d43d31166</t>
  </si>
  <si>
    <t>LED100738</t>
  </si>
  <si>
    <t>88ce5bfd-faed-4efd-86e6-f071ad50b738</t>
  </si>
  <si>
    <t>LED100756</t>
  </si>
  <si>
    <t>Same amount + high description similarity 100% + date difference 4 day(s)</t>
  </si>
  <si>
    <t>b6fbcaae-3328-4df0-9671-ab3de27578c5</t>
  </si>
  <si>
    <t>LED100740</t>
  </si>
  <si>
    <t>UPI/44685</t>
  </si>
  <si>
    <t>UPI PAYMENT/44685</t>
  </si>
  <si>
    <t>ce5fb11c-c452-4eea-be12-59c856443ba0</t>
  </si>
  <si>
    <t>LED100741</t>
  </si>
  <si>
    <t>52c92988-becd-46dc-9be1-66a9b42835e6</t>
  </si>
  <si>
    <t>LED100742</t>
  </si>
  <si>
    <t>UPI/44698</t>
  </si>
  <si>
    <t>UPI PAYMENT/44698</t>
  </si>
  <si>
    <t>55ef304c-6a2b-43f6-896a-2eae1158edba</t>
  </si>
  <si>
    <t>LED100743</t>
  </si>
  <si>
    <t>UPI/41036</t>
  </si>
  <si>
    <t>UPI PAYMENT/41036</t>
  </si>
  <si>
    <t>1a1e700d-5dc5-4f23-8dfb-16b8ab71866e</t>
  </si>
  <si>
    <t>LED100744</t>
  </si>
  <si>
    <t>UPI/4103</t>
  </si>
  <si>
    <t>UPI PAYMENT/4103</t>
  </si>
  <si>
    <t>2fc1e504-df86-401f-9146-71944565913f</t>
  </si>
  <si>
    <t>LED100745</t>
  </si>
  <si>
    <t>UPI/44693/</t>
  </si>
  <si>
    <t>UPI PAYMENT/44693/</t>
  </si>
  <si>
    <t>50d08a25-be70-4f56-b5b9-485cf402f196</t>
  </si>
  <si>
    <t>LED100746</t>
  </si>
  <si>
    <t>5dfe460d-e225-4a55-86d4-d2f132301dcc</t>
  </si>
  <si>
    <t>LED100747</t>
  </si>
  <si>
    <t>UPI/41043/-1</t>
  </si>
  <si>
    <t>UPI PAYMENT/41043/-1</t>
  </si>
  <si>
    <t>b9409d8a-bc4b-4568-8e2a-12a8dff60b40</t>
  </si>
  <si>
    <t>LED100748</t>
  </si>
  <si>
    <t>UPI/44702/Pay</t>
  </si>
  <si>
    <t>UPI PAYMENT/44702/PAY</t>
  </si>
  <si>
    <t>8b52db23-e26f-4823-8a0e-917f13b683e4</t>
  </si>
  <si>
    <t>LED100749</t>
  </si>
  <si>
    <t>UPI/44712//Pay</t>
  </si>
  <si>
    <t>UPI PAYMENT/44712//PAY</t>
  </si>
  <si>
    <t>496212ca-209e-46cc-91fc-4d986b8907e6</t>
  </si>
  <si>
    <t>LED100750</t>
  </si>
  <si>
    <t>UPI/44716/</t>
  </si>
  <si>
    <t>UPI PAYMENT/44716/</t>
  </si>
  <si>
    <t>f4eb23f3-f400-45a9-9a35-4156afe34210</t>
  </si>
  <si>
    <t>LED100751</t>
  </si>
  <si>
    <t>3b247dfc-76a4-4463-9d4d-0c888884bd80</t>
  </si>
  <si>
    <t>LED100752</t>
  </si>
  <si>
    <t>UPI/44724/</t>
  </si>
  <si>
    <t>UPI PAYMENT/44724/</t>
  </si>
  <si>
    <t>6a3b2349-6313-408c-9710-a6f5b895f6f8</t>
  </si>
  <si>
    <t>LED100753</t>
  </si>
  <si>
    <t>UPI/41066/</t>
  </si>
  <si>
    <t>UPI PAYMENT/41066/</t>
  </si>
  <si>
    <t>5b6fa850-d624-4cfa-8007-47efe7a12d1e</t>
  </si>
  <si>
    <t>LED100754</t>
  </si>
  <si>
    <t>UPI/44728</t>
  </si>
  <si>
    <t>UPI PAYMENT/44728</t>
  </si>
  <si>
    <t>f582fe20-87cb-4f68-807f-00f587efd4a1</t>
  </si>
  <si>
    <t>LED100755</t>
  </si>
  <si>
    <t>ada7b712-ec48-41f6-b75c-f90c883b71a4</t>
  </si>
  <si>
    <t>LED100758</t>
  </si>
  <si>
    <t>f6766ad5-7c4e-4f6a-872d-fed300945e94</t>
  </si>
  <si>
    <t>LED100951</t>
  </si>
  <si>
    <t>Same amount + high description similarity 100% but date differs by 39 days</t>
  </si>
  <si>
    <t>939a1089-30ec-4eac-8722-90a2ca45876c</t>
  </si>
  <si>
    <t>LED100770</t>
  </si>
  <si>
    <t>db5fb96c-37cd-4f3e-b486-921c466de084</t>
  </si>
  <si>
    <t>LED100759</t>
  </si>
  <si>
    <t>4aa43469-3e3d-4d52-9744-d722da66903a</t>
  </si>
  <si>
    <t>LED100760</t>
  </si>
  <si>
    <t>UPI/44741</t>
  </si>
  <si>
    <t>UPI PAYMENT/44741</t>
  </si>
  <si>
    <t>81c116c0-737d-4e26-beb3-3ecfb6a087c3</t>
  </si>
  <si>
    <t>LED100761</t>
  </si>
  <si>
    <t>UPI/41081</t>
  </si>
  <si>
    <t>UPI PAYMENT/41081</t>
  </si>
  <si>
    <t>3b1c58fc-7816-4bfb-89c0-5f565ff2cedd</t>
  </si>
  <si>
    <t>LED100762</t>
  </si>
  <si>
    <t>UPI/41080/</t>
  </si>
  <si>
    <t>UPI PAYMENT/41080/</t>
  </si>
  <si>
    <t>ab7dc2d6-89ba-477d-9826-26f4e67a3c28</t>
  </si>
  <si>
    <t>LED100763</t>
  </si>
  <si>
    <t>UPI/PAYTM8p</t>
  </si>
  <si>
    <t>UPI PAYMENT/PAYTM8P</t>
  </si>
  <si>
    <t>f30f3bc0-6e04-4d0a-ac40-fab88dd3bdaf</t>
  </si>
  <si>
    <t>LED100764</t>
  </si>
  <si>
    <t>UPI/41098</t>
  </si>
  <si>
    <t>UPI PAYMENT/41098</t>
  </si>
  <si>
    <t>0e00e4aa-83ff-45f2-a887-fbc85a828059</t>
  </si>
  <si>
    <t>LED100765</t>
  </si>
  <si>
    <t>d803f517-c060-49df-a739-0f0b6968d70f</t>
  </si>
  <si>
    <t>LED100766</t>
  </si>
  <si>
    <t>UPI/44767/o</t>
  </si>
  <si>
    <t>UPI PAYMENT/44767/O</t>
  </si>
  <si>
    <t>3ce42a10-e653-4b1d-8457-dd708f957c67</t>
  </si>
  <si>
    <t>LED100767</t>
  </si>
  <si>
    <t>UPI/44763</t>
  </si>
  <si>
    <t>UPI PAYMENT/44763</t>
  </si>
  <si>
    <t>49d7cf57-79ab-498e-96db-9c503222741a</t>
  </si>
  <si>
    <t>LED100768</t>
  </si>
  <si>
    <t>UPI/4476</t>
  </si>
  <si>
    <t>UPI PAYMENT/4476</t>
  </si>
  <si>
    <t>c48dffdb-6b3c-44be-8156-0062dde4798f</t>
  </si>
  <si>
    <t>LED100829</t>
  </si>
  <si>
    <t>Description similarity 100% but amount differs by ₹70.00</t>
  </si>
  <si>
    <t>2c9edfcb-2464-4e78-9dae-b964a77b68ea</t>
  </si>
  <si>
    <t>LED100781</t>
  </si>
  <si>
    <t>Amount + type match, date difference 3 day(s), description similarity 100%</t>
  </si>
  <si>
    <t>fccef286-4526-4726-863d-d4750a1d8781</t>
  </si>
  <si>
    <t>LED100771</t>
  </si>
  <si>
    <t>UPI/44779</t>
  </si>
  <si>
    <t>UPI PAYMENT/44779</t>
  </si>
  <si>
    <t>54f6d8b0-d9c9-4577-a5e8-806bec7cc0ca</t>
  </si>
  <si>
    <t>LED100772</t>
  </si>
  <si>
    <t>UPI/41110</t>
  </si>
  <si>
    <t>UPI PAYMENT/41110</t>
  </si>
  <si>
    <t>d3ab8c88-06f1-4355-b11c-3894692904e1</t>
  </si>
  <si>
    <t>LED100773</t>
  </si>
  <si>
    <t>UPI/4477</t>
  </si>
  <si>
    <t>UPI PAYMENT/4477</t>
  </si>
  <si>
    <t>37023f20-cd29-4d67-b6da-815dc8e4495b</t>
  </si>
  <si>
    <t>LED100774</t>
  </si>
  <si>
    <t>4a55456d-1578-4384-99f0-d0551a3ce353</t>
  </si>
  <si>
    <t>LED100775</t>
  </si>
  <si>
    <t>c31f75bc-d203-433f-958f-f289992bb0f3</t>
  </si>
  <si>
    <t>LED100776</t>
  </si>
  <si>
    <t>b58f6d36-ed03-46ad-b47e-9325045a76b2</t>
  </si>
  <si>
    <t>LED100777</t>
  </si>
  <si>
    <t>c91bc3a7-9f6b-48f1-9561-46c3ece2baab</t>
  </si>
  <si>
    <t>LED100778</t>
  </si>
  <si>
    <t>EURO Net BILL</t>
  </si>
  <si>
    <t>EURO NET BILL</t>
  </si>
  <si>
    <t>cf93bcfe-484a-471a-81ba-16dcba6fd2f1</t>
  </si>
  <si>
    <t>LED100779</t>
  </si>
  <si>
    <t>ad4dbbaa-9053-468f-9e11-258b8b237e51</t>
  </si>
  <si>
    <t>LED100780</t>
  </si>
  <si>
    <t>d517b9fc-3e85-49f8-b6cc-20d2efecba79</t>
  </si>
  <si>
    <t>LED100782</t>
  </si>
  <si>
    <t>fa7e80c4-58ad-4790-9959-ec7e59fbc67f</t>
  </si>
  <si>
    <t>LED100787</t>
  </si>
  <si>
    <t>d1ebf28b-4b9d-4c68-9003-33ae87f0fe17</t>
  </si>
  <si>
    <t>LED100783</t>
  </si>
  <si>
    <t>UPI/41146</t>
  </si>
  <si>
    <t>UPI PAYMENT/41146</t>
  </si>
  <si>
    <t>da512c6c-d2b6-40eb-aa3d-1c5f649fe763</t>
  </si>
  <si>
    <t>LED100784</t>
  </si>
  <si>
    <t>99a18bcb-b126-45e5-84e1-25e32794d6a3</t>
  </si>
  <si>
    <t>LED100785</t>
  </si>
  <si>
    <t>UPI/41150/autopayhdfcbank</t>
  </si>
  <si>
    <t>UPI PAYMENT/41150/AUTOPAYHDFCBANK</t>
  </si>
  <si>
    <t>c5c1c4d3-bc90-40e9-9752-4e1a892f0f08</t>
  </si>
  <si>
    <t>LED100786</t>
  </si>
  <si>
    <t>31aab463-ccca-46d0-bb22-cbc89cf43f14</t>
  </si>
  <si>
    <t>LED100791</t>
  </si>
  <si>
    <t>ab8fba2a-2754-458a-b932-83ede34ed0e4</t>
  </si>
  <si>
    <t>LED100788</t>
  </si>
  <si>
    <t>1c4acb99-d93b-44a5-a973-a7731913870c</t>
  </si>
  <si>
    <t>LED100789</t>
  </si>
  <si>
    <t>Description similarity 100% but amount differs by ₹58.00</t>
  </si>
  <si>
    <t>ef92af33-1002-4eca-8ca5-234fd4e50438</t>
  </si>
  <si>
    <t>LED100790</t>
  </si>
  <si>
    <t>UPI/41176/</t>
  </si>
  <si>
    <t>UPI PAYMENT/41176/</t>
  </si>
  <si>
    <t>3a845d1a-0d45-4baf-9df1-9fed3beac079</t>
  </si>
  <si>
    <t>LED100989</t>
  </si>
  <si>
    <t>a57a70e9-a28f-4456-8ade-f37288d7dc9b</t>
  </si>
  <si>
    <t>LED100792</t>
  </si>
  <si>
    <t>5a833f4f-4923-41a0-975e-e981311578a2</t>
  </si>
  <si>
    <t>LED100793</t>
  </si>
  <si>
    <t>4d895602-777e-4035-8414-d438d151b72f</t>
  </si>
  <si>
    <t>LED100794</t>
  </si>
  <si>
    <t>AMZN/</t>
  </si>
  <si>
    <t>de0b0d9c-069b-44d8-80cf-965e1b8eb56b</t>
  </si>
  <si>
    <t>LED100795</t>
  </si>
  <si>
    <t>c718d820-6d0d-4193-a7b4-96e78efe4348</t>
  </si>
  <si>
    <t>LED100796</t>
  </si>
  <si>
    <t>f13916de-1fed-432f-b431-c92101ecf97f</t>
  </si>
  <si>
    <t>LED100797</t>
  </si>
  <si>
    <t>UPI/4484</t>
  </si>
  <si>
    <t>UPI PAYMENT/4484</t>
  </si>
  <si>
    <t>1f3e92e3-0a90-4c73-aec3-27a7a5056511</t>
  </si>
  <si>
    <t>LED100798</t>
  </si>
  <si>
    <t>c5ab64ea-0396-4a7c-8be2-100c3b71479c</t>
  </si>
  <si>
    <t>LED100799</t>
  </si>
  <si>
    <t>UPI/4485</t>
  </si>
  <si>
    <t>UPI PAYMENT/4485</t>
  </si>
  <si>
    <t>6cf2ffde-995f-4b76-aa3f-fc89a49a063b</t>
  </si>
  <si>
    <t>LED100800</t>
  </si>
  <si>
    <t>5787039c-d591-4037-b405-41f479eab738</t>
  </si>
  <si>
    <t>LED100801</t>
  </si>
  <si>
    <t>3671ec65-a102-4085-a87e-dff09f0cbee8</t>
  </si>
  <si>
    <t>LED100802</t>
  </si>
  <si>
    <t>UPI/44851</t>
  </si>
  <si>
    <t>UPI PAYMENT/44851</t>
  </si>
  <si>
    <t>bb44094f-ffae-4f0c-a470-64db270135e3</t>
  </si>
  <si>
    <t>LED100803</t>
  </si>
  <si>
    <t>UPI/41198/</t>
  </si>
  <si>
    <t>UPI PAYMENT/41198/</t>
  </si>
  <si>
    <t>2693e44b-2c17-4ca1-bc5b-e2d5a70a8a16</t>
  </si>
  <si>
    <t>LED100804</t>
  </si>
  <si>
    <t>UPI/44852/JIOINAPPDIRECT</t>
  </si>
  <si>
    <t>UPI PAYMENT/44852/JIOINAPPDIRECT</t>
  </si>
  <si>
    <t>485c56b1-d27b-401c-91e7-1bf1819af65e</t>
  </si>
  <si>
    <t>LED100805</t>
  </si>
  <si>
    <t>fd59d877-049e-4437-999c-aa3708cf4f35</t>
  </si>
  <si>
    <t>LED100806</t>
  </si>
  <si>
    <t>3e3da725-f004-4c1d-bf1a-38152f6fd861</t>
  </si>
  <si>
    <t>LED100807</t>
  </si>
  <si>
    <t>UPI/4487</t>
  </si>
  <si>
    <t>UPI PAYMENT/4487</t>
  </si>
  <si>
    <t>8d035697-5860-4674-b4f9-c3069fd3430b</t>
  </si>
  <si>
    <t>LED100808</t>
  </si>
  <si>
    <t>UPI/41213</t>
  </si>
  <si>
    <t>UPI PAYMENT/41213</t>
  </si>
  <si>
    <t>d6cceb33-4191-4155-a920-409f86132852</t>
  </si>
  <si>
    <t>LED100809</t>
  </si>
  <si>
    <t>0496d418-8cae-4098-a82d-cbd898b35b41</t>
  </si>
  <si>
    <t>LED100810</t>
  </si>
  <si>
    <t>34f26469-0133-4b42-b636-4723bfe87d5a</t>
  </si>
  <si>
    <t>LED100811</t>
  </si>
  <si>
    <t>871f81b0-9a74-44f7-b768-dc8dfe6b1162</t>
  </si>
  <si>
    <t>LED100812</t>
  </si>
  <si>
    <t>ef2366dd-5641-4f8d-b20d-7d7939805ada</t>
  </si>
  <si>
    <t>LED100813</t>
  </si>
  <si>
    <t>UPI/41</t>
  </si>
  <si>
    <t>UPI PAYMENT/41</t>
  </si>
  <si>
    <t>bba4b15f-1786-439f-a2a1-bf997b3b4752</t>
  </si>
  <si>
    <t>LED100814</t>
  </si>
  <si>
    <t>677511e3-dfb7-4881-958d-5dde8afffba0</t>
  </si>
  <si>
    <t>LED100815</t>
  </si>
  <si>
    <t>21384645-789d-4f28-adbd-ee1fcb2c11c4</t>
  </si>
  <si>
    <t>LED100816</t>
  </si>
  <si>
    <t>7a29d991-5022-4824-9ad1-a03be38ae62f</t>
  </si>
  <si>
    <t>LED100817</t>
  </si>
  <si>
    <t>8ebb1040-10d1-4bbb-8134-630b5d3e5831</t>
  </si>
  <si>
    <t>LED100818</t>
  </si>
  <si>
    <t>UPI/41232</t>
  </si>
  <si>
    <t>UPI PAYMENT/41232</t>
  </si>
  <si>
    <t>1a9f6f0a-2a9a-48d9-98ac-70440ef6c411</t>
  </si>
  <si>
    <t>LED100819</t>
  </si>
  <si>
    <t>647ab463-69b0-44a6-aff9-1ccc2b286aac</t>
  </si>
  <si>
    <t>LED100820</t>
  </si>
  <si>
    <t>97d36ab3-0c08-4eeb-8f67-2bc3855889d7</t>
  </si>
  <si>
    <t>LED100821</t>
  </si>
  <si>
    <t>c4676bc4-dd7c-4c36-b6b9-64645fd25530</t>
  </si>
  <si>
    <t>LED100822</t>
  </si>
  <si>
    <t>480a7681-c5f5-4a9f-b57a-69e8c889cab2</t>
  </si>
  <si>
    <t>LED100823</t>
  </si>
  <si>
    <t>273f8cf5-89b5-4bc0-93f9-5579657b690f</t>
  </si>
  <si>
    <t>LED100824</t>
  </si>
  <si>
    <t>UPI/41234</t>
  </si>
  <si>
    <t>UPI PAYMENT/41234</t>
  </si>
  <si>
    <t>7a6ce6c6-9f59-4718-85a5-9fb34af27dd5</t>
  </si>
  <si>
    <t>LED100825</t>
  </si>
  <si>
    <t>e4c7abc2-955a-4555-862f-70563324d33e</t>
  </si>
  <si>
    <t>LED100826</t>
  </si>
  <si>
    <t>14326b1d-1770-4776-9b6a-7a90e5e4bbe0</t>
  </si>
  <si>
    <t>LED100827</t>
  </si>
  <si>
    <t>55b55f0e-0b96-4b6e-9aa0-049d73bc4ed9</t>
  </si>
  <si>
    <t>LED100828</t>
  </si>
  <si>
    <t>UPI/PAYTMmp</t>
  </si>
  <si>
    <t>UPI PAYMENT/PAYTMMP</t>
  </si>
  <si>
    <t>61dcecc9-1d67-4edc-a8a6-50d066a74c1b</t>
  </si>
  <si>
    <t>LED100340</t>
  </si>
  <si>
    <t>Description similarity 100% but amount differs by ₹195.00</t>
  </si>
  <si>
    <t>f3b86d1b-1889-44d6-8907-786dd2ed001e</t>
  </si>
  <si>
    <t>LED100830</t>
  </si>
  <si>
    <t>f34cd85b-f0ce-4c09-852a-b4b324eda39e</t>
  </si>
  <si>
    <t>LED100831</t>
  </si>
  <si>
    <t>196523fd-76f6-4768-a8ce-2f18d4267f9e</t>
  </si>
  <si>
    <t>LED100832</t>
  </si>
  <si>
    <t>UPI/41252</t>
  </si>
  <si>
    <t>UPI PAYMENT/41252</t>
  </si>
  <si>
    <t>dcca75fb-d339-4ffe-b22d-954bcbbca240</t>
  </si>
  <si>
    <t>LED100833</t>
  </si>
  <si>
    <t>0637105c-449b-444e-af57-b2e4931fbdea</t>
  </si>
  <si>
    <t>LED100834</t>
  </si>
  <si>
    <t>UPI/4492</t>
  </si>
  <si>
    <t>UPI PAYMENT/4492</t>
  </si>
  <si>
    <t>330e7027-ae47-4c04-82c1-91d807149cd2</t>
  </si>
  <si>
    <t>LED100835</t>
  </si>
  <si>
    <t>b9b6bad7-6254-46fb-aa99-37f5babcc33d</t>
  </si>
  <si>
    <t>LED100836</t>
  </si>
  <si>
    <t>b36a0b25-74d6-4f3a-a22d-92e4705e2912</t>
  </si>
  <si>
    <t>LED100837</t>
  </si>
  <si>
    <t>UPI/41267</t>
  </si>
  <si>
    <t>UPI PAYMENT/41267</t>
  </si>
  <si>
    <t>bccb9467-1f3e-4a20-a6ba-d2b18c216feb</t>
  </si>
  <si>
    <t>LED100838</t>
  </si>
  <si>
    <t>811b5dfe-d24b-420a-9701-e0fbd6460b74</t>
  </si>
  <si>
    <t>LED100839</t>
  </si>
  <si>
    <t>e42b0839-6287-4080-9234-0de28682ee0e</t>
  </si>
  <si>
    <t>LED100840</t>
  </si>
  <si>
    <t>UPI/4493</t>
  </si>
  <si>
    <t>UPI PAYMENT/4493</t>
  </si>
  <si>
    <t>73e3e6b0-5bda-4368-9bc6-f1d8a5628bb4</t>
  </si>
  <si>
    <t>LED100841</t>
  </si>
  <si>
    <t>8a0f0f1d-02f2-471e-81bb-b5dea44309f4</t>
  </si>
  <si>
    <t>LED100842</t>
  </si>
  <si>
    <t>603bb328-4050-415f-b8d6-22d8ddd45959</t>
  </si>
  <si>
    <t>LED100843</t>
  </si>
  <si>
    <t>a0cb180f-0d4b-4fd2-8c68-a00c5d043815</t>
  </si>
  <si>
    <t>LED100879</t>
  </si>
  <si>
    <t>d35629ad-db75-483f-8ebc-fa9833468f9c</t>
  </si>
  <si>
    <t>LED100845</t>
  </si>
  <si>
    <t>UPI/4494</t>
  </si>
  <si>
    <t>UPI PAYMENT/4494</t>
  </si>
  <si>
    <t>96a8396d-5075-43e0-9676-ec189c238104</t>
  </si>
  <si>
    <t>LED100846</t>
  </si>
  <si>
    <t>edc422af-eef4-4c75-9f54-e7ed8c24796c</t>
  </si>
  <si>
    <t>LED100847</t>
  </si>
  <si>
    <t>e32eb683-aefb-4611-8431-03f8460adb84</t>
  </si>
  <si>
    <t>LED100848</t>
  </si>
  <si>
    <t>2f538e5f-64cf-4990-bf87-c644770ff18d</t>
  </si>
  <si>
    <t>LED100849</t>
  </si>
  <si>
    <t>c1a6ae0d-a73f-4219-9e99-7b0b3d8cf600</t>
  </si>
  <si>
    <t>LED100850</t>
  </si>
  <si>
    <t>UPI/41284</t>
  </si>
  <si>
    <t>UPI PAYMENT/41284</t>
  </si>
  <si>
    <t>dc9033f5-ae18-41f9-92fc-02141a9d23d6</t>
  </si>
  <si>
    <t>LED100851</t>
  </si>
  <si>
    <t>d63df3de-1e30-4bbb-885a-d586fffcf5de</t>
  </si>
  <si>
    <t>LED100852</t>
  </si>
  <si>
    <t>f7c914d8-dfc6-4467-ac97-768ce788631a</t>
  </si>
  <si>
    <t>LED100853</t>
  </si>
  <si>
    <t>UPI/GPAYRECHARGE</t>
  </si>
  <si>
    <t>UPI PAYMENT/GPAYRECHARGE</t>
  </si>
  <si>
    <t>fb0898df-03aa-4f3f-a35a-d962da0d4df0</t>
  </si>
  <si>
    <t>LED100854</t>
  </si>
  <si>
    <t>f33ed4cf-7758-48e5-bce8-1d47947f7bb5</t>
  </si>
  <si>
    <t>LED100855</t>
  </si>
  <si>
    <t>UPI/41296</t>
  </si>
  <si>
    <t>UPI PAYMENT/41296</t>
  </si>
  <si>
    <t>d018937b-c15b-4d7d-9f18-15a44e989b69</t>
  </si>
  <si>
    <t>LED100856</t>
  </si>
  <si>
    <t>fdc988b6-c087-4b75-9459-a5433148e943</t>
  </si>
  <si>
    <t>LED100857</t>
  </si>
  <si>
    <t>ab2722fa-4db7-4bd6-ac92-67da806770c3</t>
  </si>
  <si>
    <t>LED100858</t>
  </si>
  <si>
    <t>7cbb62cb-58c9-4d7a-9e70-4c73656b4357</t>
  </si>
  <si>
    <t>LED100859</t>
  </si>
  <si>
    <t>UPI/4495</t>
  </si>
  <si>
    <t>UPI PAYMENT/4495</t>
  </si>
  <si>
    <t>7f51347c-e02c-4f1e-abb4-4213890448ae</t>
  </si>
  <si>
    <t>LED100860</t>
  </si>
  <si>
    <t>UPI/4496</t>
  </si>
  <si>
    <t>UPI PAYMENT/4496</t>
  </si>
  <si>
    <t>dbbfc153-bd45-4094-8eeb-538d435adf9e</t>
  </si>
  <si>
    <t>LED100861</t>
  </si>
  <si>
    <t>b89c59e1-2116-4cfc-a8ec-7440c36a6853</t>
  </si>
  <si>
    <t>LED100862</t>
  </si>
  <si>
    <t>UPI/PAYTMlp</t>
  </si>
  <si>
    <t>UPI PAYMENT/PAYTMLP</t>
  </si>
  <si>
    <t>46c380b7-c110-4b54-98f7-6acd26467908</t>
  </si>
  <si>
    <t>LED100863</t>
  </si>
  <si>
    <t>97769eb5-f3e4-4f68-af86-233a0616915d</t>
  </si>
  <si>
    <t>LED100864</t>
  </si>
  <si>
    <t>f8df0c27-3ef1-450d-a5b5-b9ce9de6fddb</t>
  </si>
  <si>
    <t>LED100865</t>
  </si>
  <si>
    <t>UPI/44964</t>
  </si>
  <si>
    <t>UPI PAYMENT/44964</t>
  </si>
  <si>
    <t>8548326a-8594-46b2-97de-1adcaab9a74a</t>
  </si>
  <si>
    <t>LED100866</t>
  </si>
  <si>
    <t>c785f6d9-41ce-4222-8e7e-56acda2689b2</t>
  </si>
  <si>
    <t>LED100867</t>
  </si>
  <si>
    <t>2e15a8d1-b54d-4048-b590-f779e0aba88d</t>
  </si>
  <si>
    <t>LED100868</t>
  </si>
  <si>
    <t>UPI/44971</t>
  </si>
  <si>
    <t>UPI PAYMENT/44971</t>
  </si>
  <si>
    <t>ce62273d-0213-4c01-ab97-0a92567a1945</t>
  </si>
  <si>
    <t>LED100889</t>
  </si>
  <si>
    <t>2f0ed765-4807-4bc9-ba7f-621994f2115b</t>
  </si>
  <si>
    <t>LED100870</t>
  </si>
  <si>
    <t>UPI/4497</t>
  </si>
  <si>
    <t>UPI PAYMENT/4497</t>
  </si>
  <si>
    <t>c0b480d3-9bd1-4d7b-a3e7-46675b6adb3c</t>
  </si>
  <si>
    <t>LED100876</t>
  </si>
  <si>
    <t>45b50201-8fd6-434b-9d50-574d7ca588aa</t>
  </si>
  <si>
    <t>LED100872</t>
  </si>
  <si>
    <t>d179e30f-bd27-4ed2-a1c5-0ba7be5259a4</t>
  </si>
  <si>
    <t>LED100873</t>
  </si>
  <si>
    <t>30bb69bd-f41c-403e-8b9a-b979b7677247</t>
  </si>
  <si>
    <t>LED100874</t>
  </si>
  <si>
    <t>UPI/4498</t>
  </si>
  <si>
    <t>UPI PAYMENT/4498</t>
  </si>
  <si>
    <t>3963a4d4-ba7d-481e-969b-9a44ae20a864</t>
  </si>
  <si>
    <t>LED100875</t>
  </si>
  <si>
    <t>cbefc487-a0fd-41da-a201-25bd1e7a413f</t>
  </si>
  <si>
    <t>LED100958</t>
  </si>
  <si>
    <t>430f553a-f354-4228-9c05-eb2d7ae79d96</t>
  </si>
  <si>
    <t>LED100877</t>
  </si>
  <si>
    <t>UPI/44987</t>
  </si>
  <si>
    <t>UPI PAYMENT/44987</t>
  </si>
  <si>
    <t>1abd45bf-1688-44de-a4d5-959f48b5155e</t>
  </si>
  <si>
    <t>LED100878</t>
  </si>
  <si>
    <t>23fb0efc-e983-48df-a46d-1062a787f8e4</t>
  </si>
  <si>
    <t>LED100931</t>
  </si>
  <si>
    <t>Description similarity 100% but amount differs by ₹300.00</t>
  </si>
  <si>
    <t>ef15596a-7bdf-4188-8515-96ad1f22c2c4</t>
  </si>
  <si>
    <t>LED100880</t>
  </si>
  <si>
    <t>UPI/4499</t>
  </si>
  <si>
    <t>UPI PAYMENT/4499</t>
  </si>
  <si>
    <t>d03a38bf-6960-4ba2-9c36-5bbaf088a36d</t>
  </si>
  <si>
    <t>LED100881</t>
  </si>
  <si>
    <t>UPI/41331</t>
  </si>
  <si>
    <t>UPI PAYMENT/41331</t>
  </si>
  <si>
    <t>4cd145a0-d0eb-4731-bb29-266c20c33205</t>
  </si>
  <si>
    <t>LED100882</t>
  </si>
  <si>
    <t>ae6f3208-d206-4215-8052-0f979e326278</t>
  </si>
  <si>
    <t>LED100883</t>
  </si>
  <si>
    <t>9cf29963-4d2b-4c9c-99e6-134b394dadd8</t>
  </si>
  <si>
    <t>LED100884</t>
  </si>
  <si>
    <t>UPI/4500</t>
  </si>
  <si>
    <t>UPI PAYMENT/4500</t>
  </si>
  <si>
    <t>7141e406-9738-4db3-8092-123d8dabec38</t>
  </si>
  <si>
    <t>LED100885</t>
  </si>
  <si>
    <t>50ba70db-724a-443e-bc6c-d61587d9763d</t>
  </si>
  <si>
    <t>LED100886</t>
  </si>
  <si>
    <t>UPI/45003</t>
  </si>
  <si>
    <t>UPI PAYMENT/45003</t>
  </si>
  <si>
    <t>dffc4904-9780-4817-b679-f7d95da78607</t>
  </si>
  <si>
    <t>LED100887</t>
  </si>
  <si>
    <t>ecf802b6-d1d7-43de-b9e0-f41a43a67ce0</t>
  </si>
  <si>
    <t>LED100888</t>
  </si>
  <si>
    <t>c63622f7-6dc7-4c0d-9da1-026ff7e8f83f</t>
  </si>
  <si>
    <t>LED100891</t>
  </si>
  <si>
    <t>Description similarity 100% but amount differs by ₹30.00</t>
  </si>
  <si>
    <t>8fb6e718-26d2-4cea-a1d9-aa8fb11ffa83</t>
  </si>
  <si>
    <t>LED100890</t>
  </si>
  <si>
    <t>UPI/41350</t>
  </si>
  <si>
    <t>UPI PAYMENT/41350</t>
  </si>
  <si>
    <t>f368130f-61d1-44b0-940c-aad28b39bea2</t>
  </si>
  <si>
    <t>LED100991</t>
  </si>
  <si>
    <t>Description similarity 100% but amount differs by ₹180.00</t>
  </si>
  <si>
    <t>32499502-516f-44ba-ace3-9d7f4851515c</t>
  </si>
  <si>
    <t>LED100892</t>
  </si>
  <si>
    <t>374bdc9e-c30b-4d08-8aaf-baa7f00edc68</t>
  </si>
  <si>
    <t>82a23b7d-b949-430b-9925-ac41f1d9ab9e</t>
  </si>
  <si>
    <t>LED100894</t>
  </si>
  <si>
    <t>97f77a7d-37d0-4e8f-8d96-c2603541c6ab</t>
  </si>
  <si>
    <t>LED100895</t>
  </si>
  <si>
    <t>4b213377-c845-4d68-b4a3-47adfd333d67</t>
  </si>
  <si>
    <t>LED100896</t>
  </si>
  <si>
    <t>UPI/45025/JIOINAPPDIRECT</t>
  </si>
  <si>
    <t>UPI PAYMENT/45025/JIOINAPPDIRECT</t>
  </si>
  <si>
    <t>21459fcb-7f53-4a2b-98e6-b92e38ac3562</t>
  </si>
  <si>
    <t>LED100897</t>
  </si>
  <si>
    <t>a27bd0c5-66c9-41e7-8350-0d74d43a464f</t>
  </si>
  <si>
    <t>LED100898</t>
  </si>
  <si>
    <t>UPI/4502</t>
  </si>
  <si>
    <t>UPI PAYMENT/4502</t>
  </si>
  <si>
    <t>7fad5e57-1b2d-440e-a3ff-43aab42e4688</t>
  </si>
  <si>
    <t>LED100899</t>
  </si>
  <si>
    <t>5a48353c-1b4b-4378-baf4-a75f9ed2e03a</t>
  </si>
  <si>
    <t>LED100900</t>
  </si>
  <si>
    <t>UPI/45028/JIOINAPPDIRECT</t>
  </si>
  <si>
    <t>UPI PAYMENT/45028/JIOINAPPDIRECT</t>
  </si>
  <si>
    <t>8e88e324-d8bb-4920-b8f2-c98a49e51f84</t>
  </si>
  <si>
    <t>LED100901</t>
  </si>
  <si>
    <t>6b33e460-d49f-465e-833d-b6c8843c3e21</t>
  </si>
  <si>
    <t>LED100902</t>
  </si>
  <si>
    <t>ac706267-eb14-4772-89e5-a4a30cba2740</t>
  </si>
  <si>
    <t>LED100903</t>
  </si>
  <si>
    <t>51f628f6-d430-41bf-b227-72fc7a89ae8b</t>
  </si>
  <si>
    <t>LED100904</t>
  </si>
  <si>
    <t>5957e0d0-1550-4a27-9f50-4e276d34f00e</t>
  </si>
  <si>
    <t>LED100905</t>
  </si>
  <si>
    <t>Description similarity 100% but amount differs by ₹8.00</t>
  </si>
  <si>
    <t>a240c84e-8916-4307-95f5-a722ad0287d6</t>
  </si>
  <si>
    <t>LED100906</t>
  </si>
  <si>
    <t>UPI/41374</t>
  </si>
  <si>
    <t>UPI PAYMENT/41374</t>
  </si>
  <si>
    <t>544ae2ba-f779-4c9e-a192-faeff9f795fd</t>
  </si>
  <si>
    <t>LED100907</t>
  </si>
  <si>
    <t>9436c34b-0490-4466-a238-6e945334cb4b</t>
  </si>
  <si>
    <t>LED100908</t>
  </si>
  <si>
    <t>UPI/4503</t>
  </si>
  <si>
    <t>UPI PAYMENT/4503</t>
  </si>
  <si>
    <t>b0b21466-ac5c-452c-899c-7f3d1971295d</t>
  </si>
  <si>
    <t>LED100909</t>
  </si>
  <si>
    <t>c5913173-57bc-4340-88b2-f9c330e26eaf</t>
  </si>
  <si>
    <t>LED100910</t>
  </si>
  <si>
    <t>UPI/4504</t>
  </si>
  <si>
    <t>UPI PAYMENT/4504</t>
  </si>
  <si>
    <t>891568f3-3d71-48e1-a416-5854239541a4</t>
  </si>
  <si>
    <t>LED100911</t>
  </si>
  <si>
    <t>327b7200-ee13-4179-b6d0-41bc618589f8</t>
  </si>
  <si>
    <t>LED100912</t>
  </si>
  <si>
    <t>UPI/41382</t>
  </si>
  <si>
    <t>UPI PAYMENT/41382</t>
  </si>
  <si>
    <t>4cf0a4da-ff24-4659-a5c0-3827552759ee</t>
  </si>
  <si>
    <t>LED100913</t>
  </si>
  <si>
    <t>c93cffda-0d4a-4228-bd3b-6dd8be20afe8</t>
  </si>
  <si>
    <t>LED100914</t>
  </si>
  <si>
    <t>UPI/45051/JIOINAPPDIRECT</t>
  </si>
  <si>
    <t>UPI PAYMENT/45051/JIOINAPPDIRECT</t>
  </si>
  <si>
    <t>7907ca94-6546-4a7f-b8ff-0beb996e787b</t>
  </si>
  <si>
    <t>LED100915</t>
  </si>
  <si>
    <t>50261313-f646-465d-9bfa-09983019e719</t>
  </si>
  <si>
    <t>LED100916</t>
  </si>
  <si>
    <t>UPI/41394/LOAD/LITE</t>
  </si>
  <si>
    <t>UPI PAYMENT/41394/LOAD/LITE</t>
  </si>
  <si>
    <t>b7963334-f585-4191-b319-eba6a2a2456e</t>
  </si>
  <si>
    <t>LED100917</t>
  </si>
  <si>
    <t>UPI/4506</t>
  </si>
  <si>
    <t>UPI PAYMENT/4506</t>
  </si>
  <si>
    <t>d2aa0378-2ce2-4e10-933c-e13c2f583cf2</t>
  </si>
  <si>
    <t>LED100918</t>
  </si>
  <si>
    <t>2869a12e-d89f-40ec-bd80-10d9b45a6e53</t>
  </si>
  <si>
    <t>LED100919</t>
  </si>
  <si>
    <t>f0dbfbd2-2203-4f8f-a872-fa89b7d761d1</t>
  </si>
  <si>
    <t>LED100920</t>
  </si>
  <si>
    <t>3aea12bb-ef0e-4bbe-8eaa-cbfddf5dbfb8</t>
  </si>
  <si>
    <t>LED100921</t>
  </si>
  <si>
    <t>8b196063-5ca4-443b-b5a2-eafa8e081903</t>
  </si>
  <si>
    <t>LED100922</t>
  </si>
  <si>
    <t>UPI/41402</t>
  </si>
  <si>
    <t>UPI PAYMENT/41402</t>
  </si>
  <si>
    <t>ced19446-2522-40a4-8fa2-a87201c91562</t>
  </si>
  <si>
    <t>LED100923</t>
  </si>
  <si>
    <t>UPI/45065/JIOINAPPDIRECT</t>
  </si>
  <si>
    <t>UPI PAYMENT/45065/JIOINAPPDIRECT</t>
  </si>
  <si>
    <t>68a1453d-c79c-40ce-b13d-29a59857331c</t>
  </si>
  <si>
    <t>LED100924</t>
  </si>
  <si>
    <t>1dc53379-c75d-49ff-94fd-1b5ccae6cd7f</t>
  </si>
  <si>
    <t>LED100925</t>
  </si>
  <si>
    <t>729dabc3-ec33-4996-bf21-48bde4b3579c</t>
  </si>
  <si>
    <t>LED100926</t>
  </si>
  <si>
    <t>9f4bc29e-a3f6-4fc1-84c2-8f46afba045c</t>
  </si>
  <si>
    <t>LED100927</t>
  </si>
  <si>
    <t>UPI/4508</t>
  </si>
  <si>
    <t>UPI PAYMENT/4508</t>
  </si>
  <si>
    <t>64ccdc6c-1f54-40ad-830c-238eb2b287b3</t>
  </si>
  <si>
    <t>LED100928</t>
  </si>
  <si>
    <t>be7a3c9f-d51d-47d3-bb11-ba07b4b26b9c</t>
  </si>
  <si>
    <t>LED100929</t>
  </si>
  <si>
    <t>UPI/41420</t>
  </si>
  <si>
    <t>UPI PAYMENT/41420</t>
  </si>
  <si>
    <t>a4e3a401-60d7-4b5d-8fb0-7c219062717b</t>
  </si>
  <si>
    <t>LED100930</t>
  </si>
  <si>
    <t>f339783e-6bb5-4882-b1dc-dea34a4ada59</t>
  </si>
  <si>
    <t>LED100982</t>
  </si>
  <si>
    <t>Description similarity 100% but amount differs by ₹1112.00</t>
  </si>
  <si>
    <t>a6f63dce-5cb7-4695-a0b1-68b2000bf9dc</t>
  </si>
  <si>
    <t>LED100932</t>
  </si>
  <si>
    <t>UPI/45095/JIOINAPPDIRECT</t>
  </si>
  <si>
    <t>UPI PAYMENT/45095/JIOINAPPDIRECT</t>
  </si>
  <si>
    <t>54cd475c-363a-4bd1-8c70-a80687d06754</t>
  </si>
  <si>
    <t>LED100940</t>
  </si>
  <si>
    <t>Description similarity 100% but amount differs by ₹20.00</t>
  </si>
  <si>
    <t>9670c45a-c512-440d-b884-02c0535ee8bf</t>
  </si>
  <si>
    <t>LED100934</t>
  </si>
  <si>
    <t>d83f984f-6105-4d15-bbb2-c85d206b5e20</t>
  </si>
  <si>
    <t>LED100935</t>
  </si>
  <si>
    <t>UPI/4509</t>
  </si>
  <si>
    <t>UPI PAYMENT/4509</t>
  </si>
  <si>
    <t>cf8cd6ae-83c6-4786-82e9-8ac13aa35a5f</t>
  </si>
  <si>
    <t>LED100936</t>
  </si>
  <si>
    <t>UPI/45096</t>
  </si>
  <si>
    <t>UPI PAYMENT/45096</t>
  </si>
  <si>
    <t>18dd5138-6e8f-4659-8826-9f53b6fe19ee</t>
  </si>
  <si>
    <t>LED100937</t>
  </si>
  <si>
    <t>UPI/45090</t>
  </si>
  <si>
    <t>UPI PAYMENT/45090</t>
  </si>
  <si>
    <t>5f691ada-c06c-420e-b75a-f03190a0b58b</t>
  </si>
  <si>
    <t>LED100938</t>
  </si>
  <si>
    <t>c6594f09-c02f-4cee-9ef9-5f7b1a4e012b</t>
  </si>
  <si>
    <t>LED100939</t>
  </si>
  <si>
    <t>2e634379-f3e6-415f-b0bc-b118bcef5a99</t>
  </si>
  <si>
    <t>LED100941</t>
  </si>
  <si>
    <t>afee02c8-95f7-407a-ac0b-1102446d5fcd</t>
  </si>
  <si>
    <t>LED100943</t>
  </si>
  <si>
    <t>2226ae5f-116e-4b55-91d4-c7e76f4f80e4</t>
  </si>
  <si>
    <t>LED100942</t>
  </si>
  <si>
    <t>UPI/PAYTM5p</t>
  </si>
  <si>
    <t>UPI PAYMENT/PAYTM5P</t>
  </si>
  <si>
    <t>1c781ae2-c0d5-4884-b2f7-26609545cedf</t>
  </si>
  <si>
    <t>LED100945</t>
  </si>
  <si>
    <t>a287d40c-92bb-4271-bdfa-142faff50a63</t>
  </si>
  <si>
    <t>LED100944</t>
  </si>
  <si>
    <t>UPI/4510</t>
  </si>
  <si>
    <t>UPI PAYMENT/4510</t>
  </si>
  <si>
    <t>e28a05a7-b00f-430e-ba92-18ba473d99b3</t>
  </si>
  <si>
    <t>LED100946</t>
  </si>
  <si>
    <t>UPI PAYMENT/41448</t>
  </si>
  <si>
    <t>3b30bf89-e93a-469f-bb1c-245eb2baa81a</t>
  </si>
  <si>
    <t>UPI/41448</t>
  </si>
  <si>
    <t>ec0ea4f1-7480-4cc8-97b8-fc06082f60fa</t>
  </si>
  <si>
    <t>LED100947</t>
  </si>
  <si>
    <t>11aae491-d422-4bc6-88be-e0981a6555a3</t>
  </si>
  <si>
    <t>LED100948</t>
  </si>
  <si>
    <t>UPI/41451</t>
  </si>
  <si>
    <t>UPI PAYMENT/41451</t>
  </si>
  <si>
    <t>e1da6560-137c-4531-b0d1-4068e7b3ec00</t>
  </si>
  <si>
    <t>LED100949</t>
  </si>
  <si>
    <t>UPI/41454/REVERSAL</t>
  </si>
  <si>
    <t>UPI PAYMENT/41454/REVERSAL</t>
  </si>
  <si>
    <t>3e1974e3-ed9f-409b-a7f1-0f0a261f5b1c</t>
  </si>
  <si>
    <t>LED100950</t>
  </si>
  <si>
    <t>1b5435dc-d9ff-406c-9dc9-b5142dfb6b00</t>
  </si>
  <si>
    <t>LED100483</t>
  </si>
  <si>
    <t>Description similarity 100% but amount differs by ₹31.60</t>
  </si>
  <si>
    <t>11f63bd4-d130-46bf-8750-fbc765b13a25</t>
  </si>
  <si>
    <t>0aa75e81-6e8b-4b55-9c96-97368b0d6659</t>
  </si>
  <si>
    <t>LED100953</t>
  </si>
  <si>
    <t>UPI/4512</t>
  </si>
  <si>
    <t>UPI PAYMENT/4512</t>
  </si>
  <si>
    <t>64989ec7-0c73-4710-89f3-d861eacfe326</t>
  </si>
  <si>
    <t>LED100954</t>
  </si>
  <si>
    <t>0efc1af2-5a91-4176-922b-f89a6614085f</t>
  </si>
  <si>
    <t>LED100955</t>
  </si>
  <si>
    <t>55c5d6de-5b14-4d88-89bf-bb336319b910</t>
  </si>
  <si>
    <t>LED100956</t>
  </si>
  <si>
    <t>a51900ee-8189-40fb-a168-0ed0d256e304</t>
  </si>
  <si>
    <t>LED100957</t>
  </si>
  <si>
    <t>9eee8e44-9a33-4fff-a926-bd2ce08b29ea</t>
  </si>
  <si>
    <t>LED100981</t>
  </si>
  <si>
    <t>553dc082-dcec-4fd8-b281-f66a6476d839</t>
  </si>
  <si>
    <t>LED100959</t>
  </si>
  <si>
    <t>2bf8ddcb-237d-4bda-b211-e6a8ac1a1bfd</t>
  </si>
  <si>
    <t>LED100960</t>
  </si>
  <si>
    <t>cb803ea0-20b9-4f76-a5e5-b70bebf17e04</t>
  </si>
  <si>
    <t>LED100961</t>
  </si>
  <si>
    <t>UPI/PAYTMtm</t>
  </si>
  <si>
    <t>UPI PAYMENT/PAYTMTM</t>
  </si>
  <si>
    <t>ce711a57-cfdb-4ea3-b89b-ffddc327c65b</t>
  </si>
  <si>
    <t>LED100962</t>
  </si>
  <si>
    <t>1d74d62b-640c-4508-a121-c404129cd1d1</t>
  </si>
  <si>
    <t>LED100963</t>
  </si>
  <si>
    <t>efc2151d-f236-440e-b0d7-e90ad7d02463</t>
  </si>
  <si>
    <t>LED100964</t>
  </si>
  <si>
    <t>e1a3d09f-51c5-483e-a0eb-fce9254092a8</t>
  </si>
  <si>
    <t>LED100965</t>
  </si>
  <si>
    <t>UPI/45138</t>
  </si>
  <si>
    <t>UPI PAYMENT/45138</t>
  </si>
  <si>
    <t>bd3e4c88-bec3-456d-8ddf-e05592d6d5c6</t>
  </si>
  <si>
    <t>LED100966</t>
  </si>
  <si>
    <t>UPI/PAYTMup</t>
  </si>
  <si>
    <t>Description similarity 100% but amount differs by ₹0.50</t>
  </si>
  <si>
    <t>24893e56-46f8-450a-9561-e2b9fa4ad1aa</t>
  </si>
  <si>
    <t>LED100967</t>
  </si>
  <si>
    <t>44b65320-b7f8-4ffa-8c8c-68627bc75acb</t>
  </si>
  <si>
    <t>LED100968</t>
  </si>
  <si>
    <t>ce15b6ec-346d-484f-a993-259e572d40f7</t>
  </si>
  <si>
    <t>LED100969</t>
  </si>
  <si>
    <t>a62ff5ed-e775-4c60-a01a-5f29e43b7ac8</t>
  </si>
  <si>
    <t>LED100970</t>
  </si>
  <si>
    <t>2c3ef021-abc9-4ef8-a1b5-0ae8a6550754</t>
  </si>
  <si>
    <t>LED100971</t>
  </si>
  <si>
    <t>f3d07c84-fbd9-4de6-83e6-ffd9151d8e2b</t>
  </si>
  <si>
    <t>LED100972</t>
  </si>
  <si>
    <t>UPI/4514</t>
  </si>
  <si>
    <t>UPI PAYMENT/4514</t>
  </si>
  <si>
    <t>cd7df1ef-e2c1-4dae-a663-380b6d4c03fb</t>
  </si>
  <si>
    <t>LED100973</t>
  </si>
  <si>
    <t>5ea22a5a-f9a5-4586-95a6-3f9e06d2a6f7</t>
  </si>
  <si>
    <t>LED100974</t>
  </si>
  <si>
    <t>f19f5691-8cc9-4c3f-90f5-f8a37fbc0da2</t>
  </si>
  <si>
    <t>LED100975</t>
  </si>
  <si>
    <t>be7137b8-527c-411c-ac0d-2a2d68a737c0</t>
  </si>
  <si>
    <t>LED100976</t>
  </si>
  <si>
    <t>68158208-6c66-4fd7-a492-7dd69e076f99</t>
  </si>
  <si>
    <t>LED100977</t>
  </si>
  <si>
    <t>a54acb9b-016e-4474-9e25-1f497f9423d7</t>
  </si>
  <si>
    <t>LED100978</t>
  </si>
  <si>
    <t>b1f8b506-a1ec-485f-b6a3-46821bfac6b7</t>
  </si>
  <si>
    <t>LED100979</t>
  </si>
  <si>
    <t>UPI/4150</t>
  </si>
  <si>
    <t>UPI PAYMENT/4150</t>
  </si>
  <si>
    <t>a13ba7fa-3fa2-4607-a064-292aa6b8b67e</t>
  </si>
  <si>
    <t>LED100980</t>
  </si>
  <si>
    <t>UPI/4516</t>
  </si>
  <si>
    <t>UPI PAYMENT/4516</t>
  </si>
  <si>
    <t>c3b42859-ac27-483b-9759-c518aeb1e5ab</t>
  </si>
  <si>
    <t>LED100871</t>
  </si>
  <si>
    <t>Description similarity 100% but amount differs by ₹1.60</t>
  </si>
  <si>
    <t>2edaf543-5afd-4247-9320-5c213957cd98</t>
  </si>
  <si>
    <t>LED100151</t>
  </si>
  <si>
    <t>Description similarity 100% but amount differs by ₹530.00</t>
  </si>
  <si>
    <t>87392ae7-630a-4cee-b8c3-d57f144654c1</t>
  </si>
  <si>
    <t>LED100983</t>
  </si>
  <si>
    <t>UPI/4517</t>
  </si>
  <si>
    <t>UPI PAYMENT/4517</t>
  </si>
  <si>
    <t>dc9a8f29-efdb-434b-a140-6e20f7185aa3</t>
  </si>
  <si>
    <t>LED100984</t>
  </si>
  <si>
    <t>a8722af7-486f-409b-bf44-452b087ecd27</t>
  </si>
  <si>
    <t>LED100985</t>
  </si>
  <si>
    <t>LED100710</t>
  </si>
  <si>
    <t>Unmatched Ledger Transaction</t>
  </si>
  <si>
    <t>No suitable bank transaction found</t>
  </si>
  <si>
    <t>LED100986</t>
  </si>
  <si>
    <t>Duplicate Candidate</t>
  </si>
  <si>
    <t>Ledger transaction appears more than once and was not uniquely reconciled</t>
  </si>
  <si>
    <t>LED100987</t>
  </si>
  <si>
    <t>LED100990</t>
  </si>
  <si>
    <t>LED100992</t>
  </si>
  <si>
    <t>LED100993</t>
  </si>
  <si>
    <t>LED100994</t>
  </si>
  <si>
    <t>LED100995</t>
  </si>
  <si>
    <t>AUTOMATED BANK RECONCILIATION — MIS DASHBOARD</t>
  </si>
  <si>
    <t>Reconciliation Monitoring &amp; Exception Management</t>
  </si>
  <si>
    <t>TOTAL BANK TRANSACTIONS</t>
  </si>
  <si>
    <t>TOTAL LEDGER TRANSACTIONS</t>
  </si>
  <si>
    <t>MATCHED TRANSACTIONS</t>
  </si>
  <si>
    <t>STRICT RECONCILIATION RATE</t>
  </si>
  <si>
    <t>TOTAL EXCEPTIONS</t>
  </si>
  <si>
    <t>CLASSIFIED / RESOLVED RATE</t>
  </si>
  <si>
    <t>EXCEPTION RECORDS</t>
  </si>
  <si>
    <t>Status</t>
  </si>
  <si>
    <t>Row Labels</t>
  </si>
  <si>
    <t>Grand Total</t>
  </si>
  <si>
    <t>Count of match_status</t>
  </si>
  <si>
    <t>AUTOMATED BANK RECONCILIATION — EXCEPTION REPORT</t>
  </si>
  <si>
    <t>Exception Monitoring &amp; Transaction Investigation</t>
  </si>
  <si>
    <t>AMOUNT MISMATCHES</t>
  </si>
  <si>
    <t>TIMING DIFFERENCES</t>
  </si>
  <si>
    <t>UNMATCHED TRANSACTIONS</t>
  </si>
  <si>
    <t>AUTOMATED BANK RECONCILIATION — CONTROL CHECKS</t>
  </si>
  <si>
    <t>Data Quality, Reconciliation &amp; Process Validation</t>
  </si>
  <si>
    <t>Control Check</t>
  </si>
  <si>
    <t>Expected</t>
  </si>
  <si>
    <t>Actual</t>
  </si>
  <si>
    <t>Bank Transactions</t>
  </si>
  <si>
    <t>Ledger Transactions</t>
  </si>
  <si>
    <t>Matched Transactions</t>
  </si>
  <si>
    <t>Exception Records</t>
  </si>
  <si>
    <t>Reconciliation Output</t>
  </si>
  <si>
    <t>Status Classification</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</si>
</sst>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8" x14ac:knownFonts="1">
    <font>
      <sz val="11"/>
      <color theme="1"/>
      <name val="Calibri"/>
      <family val="2"/>
      <scheme val="minor"/>
    </font>
    <font>
      <sz val="11"/>
      <color theme="1"/>
      <name val="Calibri"/>
      <family val="2"/>
      <scheme val="minor"/>
    </font>
    <font>
      <b/>
      <sz val="11"/>
      <color theme="1"/>
      <name val="Calibri"/>
      <family val="2"/>
      <scheme val="minor"/>
    </font>
    <font>
      <b/>
      <sz val="20"/>
      <color theme="1"/>
      <name val="Calibri"/>
      <family val="2"/>
      <scheme val="minor"/>
    </font>
    <font>
      <b/>
      <sz val="18"/>
      <color theme="1"/>
      <name val="Calibri"/>
      <family val="2"/>
      <scheme val="minor"/>
    </font>
    <font>
      <sz val="12"/>
      <color theme="1"/>
      <name val="Calibri"/>
      <family val="2"/>
      <scheme val="minor"/>
    </font>
    <font>
      <sz val="10"/>
      <color theme="1"/>
      <name val="Arial Unicode MS"/>
      <family val="2"/>
    </font>
    <font>
      <b/>
      <sz val="16"/>
      <color theme="1"/>
      <name val="Calibri"/>
      <family val="2"/>
      <scheme val="minor"/>
    </font>
  </fonts>
  <fills count="3">
    <fill>
      <patternFill patternType="none"/>
    </fill>
    <fill>
      <patternFill patternType="gray125"/>
    </fill>
    <fill>
      <patternFill patternType="solid">
        <fgColor theme="6" tint="0.39997558519241921"/>
        <bgColor indexed="64"/>
      </patternFill>
    </fill>
  </fills>
  <borders count="2">
    <border>
      <left/>
      <right/>
      <top/>
      <bottom/>
      <diagonal/>
    </border>
    <border>
      <left style="thin">
        <color indexed="64"/>
      </left>
      <right style="thin">
        <color indexed="64"/>
      </right>
      <top style="thin">
        <color indexed="64"/>
      </top>
      <bottom style="thin">
        <color indexed="64"/>
      </bottom>
      <diagonal/>
    </border>
  </borders>
  <cellStyleXfs count="2">
    <xf numFmtId="0" fontId="0" fillId="0" borderId="0"/>
    <xf numFmtId="9" fontId="1" fillId="0" borderId="0" applyFont="0" applyFill="0" applyBorder="0" applyAlignment="0" applyProtection="0"/>
  </cellStyleXfs>
  <cellXfs count="17">
    <xf numFmtId="0" fontId="0" fillId="0" borderId="0" xfId="0"/>
    <xf numFmtId="14" fontId="0" fillId="0" borderId="0" xfId="0" applyNumberFormat="1"/>
    <xf numFmtId="0" fontId="3" fillId="2" borderId="1" xfId="0" applyFont="1" applyFill="1" applyBorder="1" applyAlignment="1">
      <alignment horizontal="center" vertical="center"/>
    </xf>
    <xf numFmtId="10" fontId="3" fillId="2" borderId="1" xfId="1" applyNumberFormat="1" applyFont="1" applyFill="1" applyBorder="1" applyAlignment="1">
      <alignment horizontal="center" vertical="center"/>
    </xf>
    <xf numFmtId="0" fontId="5" fillId="0" borderId="0" xfId="0" applyFont="1"/>
    <xf numFmtId="0" fontId="0" fillId="0" borderId="0" xfId="0" pivotButton="1"/>
    <xf numFmtId="0" fontId="0" fillId="0" borderId="0" xfId="0" applyAlignment="1">
      <alignment horizontal="left"/>
    </xf>
    <xf numFmtId="0" fontId="4" fillId="2" borderId="1" xfId="0" applyFont="1" applyFill="1" applyBorder="1" applyAlignment="1">
      <alignment horizontal="center" vertical="center"/>
    </xf>
    <xf numFmtId="0" fontId="6" fillId="0" borderId="0" xfId="0" applyFont="1" applyAlignment="1">
      <alignment horizontal="left" vertical="center" indent="1"/>
    </xf>
    <xf numFmtId="0" fontId="2" fillId="0" borderId="1" xfId="0" applyFont="1" applyBorder="1"/>
    <xf numFmtId="0" fontId="6" fillId="0" borderId="1" xfId="0" applyFont="1" applyBorder="1" applyAlignment="1">
      <alignment vertical="center"/>
    </xf>
    <xf numFmtId="0" fontId="0" fillId="0" borderId="1" xfId="0" applyBorder="1"/>
    <xf numFmtId="0" fontId="4" fillId="0" borderId="0" xfId="0" applyFont="1" applyAlignment="1">
      <alignment horizontal="center" vertical="center"/>
    </xf>
    <xf numFmtId="0" fontId="2" fillId="0" borderId="0" xfId="0" applyFont="1" applyAlignment="1">
      <alignment horizontal="center"/>
    </xf>
    <xf numFmtId="0" fontId="6" fillId="0" borderId="0" xfId="0" applyFont="1" applyAlignment="1">
      <alignment horizontal="left"/>
    </xf>
    <xf numFmtId="0" fontId="3" fillId="0" borderId="0" xfId="0" applyFont="1" applyAlignment="1">
      <alignment horizontal="center"/>
    </xf>
    <xf numFmtId="0" fontId="7" fillId="0" borderId="0" xfId="0" applyFont="1" applyAlignment="1">
      <alignment horizontal="center" vertical="center"/>
    </xf>
  </cellXfs>
  <cellStyles count="2">
    <cellStyle name="Normal" xfId="0" builtinId="0"/>
    <cellStyle name="Percent" xfId="1" builtinId="5"/>
  </cellStyles>
  <dxfs count="12">
    <dxf>
      <font>
        <color rgb="FF006100"/>
      </font>
      <fill>
        <patternFill>
          <bgColor rgb="FFC6EFCE"/>
        </patternFill>
      </fil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19" formatCode="dd/mm/yyyy"/>
    </dxf>
    <dxf>
      <numFmt numFmtId="19" formatCode="dd/mm/yyyy"/>
    </dxf>
    <dxf>
      <numFmt numFmtId="0" formatCode="General"/>
    </dxf>
    <dxf>
      <numFmt numFmtId="0" formatCode="Genera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microsoft.com/office/2007/relationships/slicerCache" Target="slicerCaches/slicerCache3.xml"/><Relationship Id="rId13" Type="http://schemas.openxmlformats.org/officeDocument/2006/relationships/sheetMetadata" Target="metadata.xml"/><Relationship Id="rId3" Type="http://schemas.openxmlformats.org/officeDocument/2006/relationships/worksheet" Target="worksheets/sheet3.xml"/><Relationship Id="rId7" Type="http://schemas.microsoft.com/office/2007/relationships/slicerCache" Target="slicerCaches/slicerCache2.xml"/><Relationship Id="rId12"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microsoft.com/office/2007/relationships/slicerCache" Target="slicerCaches/slicerCache1.xml"/><Relationship Id="rId11" Type="http://schemas.openxmlformats.org/officeDocument/2006/relationships/styles" Target="styles.xml"/><Relationship Id="rId5" Type="http://schemas.openxmlformats.org/officeDocument/2006/relationships/pivotCacheDefinition" Target="pivotCache/pivotCacheDefinition1.xml"/><Relationship Id="rId15" Type="http://schemas.openxmlformats.org/officeDocument/2006/relationships/customXml" Target="../customXml/item1.xml"/><Relationship Id="rId10" Type="http://schemas.openxmlformats.org/officeDocument/2006/relationships/connections" Target="connections.xml"/><Relationship Id="rId4" Type="http://schemas.openxmlformats.org/officeDocument/2006/relationships/worksheet" Target="worksheets/sheet4.xml"/><Relationship Id="rId9" Type="http://schemas.openxmlformats.org/officeDocument/2006/relationships/theme" Target="theme/theme1.xml"/><Relationship Id="rId14" Type="http://schemas.openxmlformats.org/officeDocument/2006/relationships/calcChain" Target="calcChain.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[Automated_Bank_Reconciliation_MIS.xlsx]Executive Summary!PivotTable1</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a:t>Reconciliation</a:t>
            </a:r>
            <a:r>
              <a:rPr lang="en-IN" baseline="0"/>
              <a:t> Status Distribution</a:t>
            </a:r>
          </a:p>
          <a:p>
            <a:pPr>
              <a:defRPr/>
            </a:pPr>
            <a:endParaRPr lang="en-IN"/>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'Executive Summary'!$AB$2</c:f>
              <c:strCache>
                <c:ptCount val="1"/>
                <c:pt idx="0">
                  <c:v>Total</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'Executive Summary'!$AA$3:$AA$10</c:f>
              <c:strCache>
                <c:ptCount val="7"/>
                <c:pt idx="0">
                  <c:v>Amount Mismatch</c:v>
                </c:pt>
                <c:pt idx="1">
                  <c:v>Duplicate Candidate</c:v>
                </c:pt>
                <c:pt idx="2">
                  <c:v>Matched</c:v>
                </c:pt>
                <c:pt idx="3">
                  <c:v>Potential Match</c:v>
                </c:pt>
                <c:pt idx="4">
                  <c:v>Timing Difference</c:v>
                </c:pt>
                <c:pt idx="5">
                  <c:v>Unmatched Bank Transaction</c:v>
                </c:pt>
                <c:pt idx="6">
                  <c:v>Unmatched Ledger Transaction</c:v>
                </c:pt>
              </c:strCache>
            </c:strRef>
          </c:cat>
          <c:val>
            <c:numRef>
              <c:f>'Executive Summary'!$AB$3:$AB$10</c:f>
              <c:numCache>
                <c:formatCode>General</c:formatCode>
                <c:ptCount val="7"/>
                <c:pt idx="0">
                  <c:v>33</c:v>
                </c:pt>
                <c:pt idx="1">
                  <c:v>7</c:v>
                </c:pt>
                <c:pt idx="2">
                  <c:v>851</c:v>
                </c:pt>
                <c:pt idx="3">
                  <c:v>65</c:v>
                </c:pt>
                <c:pt idx="4">
                  <c:v>28</c:v>
                </c:pt>
                <c:pt idx="5">
                  <c:v>8</c:v>
                </c:pt>
                <c:pt idx="6">
                  <c:v>1</c:v>
                </c:pt>
              </c:numCache>
            </c:numRef>
          </c:val>
          <c:extLst>
            <c:ext xmlns:c16="http://schemas.microsoft.com/office/drawing/2014/chart" uri="{C3380CC4-5D6E-409C-BE32-E72D297353CC}">
              <c16:uniqueId val="{00000000-4FB3-4A7C-8A4F-A550F07D6DE9}"/>
            </c:ext>
          </c:extLst>
        </c:ser>
        <c:dLbls>
          <c:dLblPos val="outEnd"/>
          <c:showLegendKey val="0"/>
          <c:showVal val="1"/>
          <c:showCatName val="0"/>
          <c:showSerName val="0"/>
          <c:showPercent val="0"/>
          <c:showBubbleSize val="0"/>
        </c:dLbls>
        <c:gapWidth val="182"/>
        <c:axId val="1423520463"/>
        <c:axId val="1355463055"/>
      </c:barChart>
      <c:catAx>
        <c:axId val="1423520463"/>
        <c:scaling>
          <c:orientation val="minMax"/>
        </c:scaling>
        <c:delete val="0"/>
        <c:axPos val="l"/>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355463055"/>
        <c:crosses val="autoZero"/>
        <c:auto val="1"/>
        <c:lblAlgn val="ctr"/>
        <c:lblOffset val="100"/>
        <c:noMultiLvlLbl val="0"/>
      </c:catAx>
      <c:valAx>
        <c:axId val="1355463055"/>
        <c:scaling>
          <c:orientation val="minMax"/>
        </c:scaling>
        <c:delete val="0"/>
        <c:axPos val="b"/>
        <c:numFmt formatCode="General" sourceLinked="1"/>
        <c:majorTickMark val="out"/>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423520463"/>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sVisible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[Automated_Bank_Reconciliation_MIS.xlsx]Exception Report!PivotTable3</c:name>
    <c:fmtId val="0"/>
  </c:pivotSource>
  <c:chart>
    <c:title>
      <c:tx>
        <c:rich>
          <a:bodyPr rot="0" spcFirstLastPara="1" vertOverflow="ellipsis" vert="horz" wrap="square" anchor="ctr" anchorCtr="1"/>
          <a:lstStyle/>
          <a:p>
            <a:pPr marL="0" marR="0" lvl="0" indent="0" algn="ctr" defTabSz="914400" rtl="0" eaLnBrk="1" fontAlgn="auto" latinLnBrk="0" hangingPunct="1">
              <a:lnSpc>
                <a:spcPct val="100000"/>
              </a:lnSpc>
              <a:spcBef>
                <a:spcPts val="0"/>
              </a:spcBef>
              <a:spcAft>
                <a:spcPts val="0"/>
              </a:spcAft>
              <a:buClrTx/>
              <a:buSzTx/>
              <a:buFontTx/>
              <a:buNone/>
              <a:tabLst/>
              <a:defRPr sz="1400" b="0" i="0" u="none" strike="noStrike" kern="1200" spc="0" baseline="0">
                <a:solidFill>
                  <a:sysClr val="windowText" lastClr="000000">
                    <a:lumMod val="65000"/>
                    <a:lumOff val="35000"/>
                  </a:sysClr>
                </a:solidFill>
                <a:latin typeface="+mn-lt"/>
                <a:ea typeface="+mn-ea"/>
                <a:cs typeface="+mn-cs"/>
              </a:defRPr>
            </a:pPr>
            <a:r>
              <a:rPr lang="en-IN" b="1"/>
              <a:t>Exception Breakdown</a:t>
            </a:r>
          </a:p>
        </c:rich>
      </c:tx>
      <c:overlay val="0"/>
      <c:spPr>
        <a:noFill/>
        <a:ln>
          <a:noFill/>
        </a:ln>
        <a:effectLst/>
      </c:spPr>
      <c:txPr>
        <a:bodyPr rot="0" spcFirstLastPara="1" vertOverflow="ellipsis" vert="horz" wrap="square" anchor="ctr" anchorCtr="1"/>
        <a:lstStyle/>
        <a:p>
          <a:pPr marL="0" marR="0" lvl="0" indent="0" algn="ctr" defTabSz="914400" rtl="0" eaLnBrk="1" fontAlgn="auto" latinLnBrk="0" hangingPunct="1">
            <a:lnSpc>
              <a:spcPct val="100000"/>
            </a:lnSpc>
            <a:spcBef>
              <a:spcPts val="0"/>
            </a:spcBef>
            <a:spcAft>
              <a:spcPts val="0"/>
            </a:spcAft>
            <a:buClrTx/>
            <a:buSzTx/>
            <a:buFontTx/>
            <a:buNone/>
            <a:tabLst/>
            <a:defRPr sz="1400" b="0" i="0" u="none" strike="noStrike" kern="1200" spc="0" baseline="0">
              <a:solidFill>
                <a:sysClr val="windowText" lastClr="000000">
                  <a:lumMod val="65000"/>
                  <a:lumOff val="35000"/>
                </a:sys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'Exception Report'!$AB$3</c:f>
              <c:strCache>
                <c:ptCount val="1"/>
                <c:pt idx="0">
                  <c:v>Total</c:v>
                </c:pt>
              </c:strCache>
            </c:strRef>
          </c:tx>
          <c:spPr>
            <a:solidFill>
              <a:schemeClr val="accent1"/>
            </a:solidFill>
            <a:ln>
              <a:noFill/>
            </a:ln>
            <a:effectLst/>
          </c:spPr>
          <c:invertIfNegative val="0"/>
          <c:cat>
            <c:strRef>
              <c:f>'Exception Report'!$AA$4:$AA$10</c:f>
              <c:strCache>
                <c:ptCount val="6"/>
                <c:pt idx="0">
                  <c:v>Amount Mismatch</c:v>
                </c:pt>
                <c:pt idx="1">
                  <c:v>Duplicate Candidate</c:v>
                </c:pt>
                <c:pt idx="2">
                  <c:v>Potential Match</c:v>
                </c:pt>
                <c:pt idx="3">
                  <c:v>Timing Difference</c:v>
                </c:pt>
                <c:pt idx="4">
                  <c:v>Unmatched Bank Transaction</c:v>
                </c:pt>
                <c:pt idx="5">
                  <c:v>Unmatched Ledger Transaction</c:v>
                </c:pt>
              </c:strCache>
            </c:strRef>
          </c:cat>
          <c:val>
            <c:numRef>
              <c:f>'Exception Report'!$AB$4:$AB$10</c:f>
              <c:numCache>
                <c:formatCode>General</c:formatCode>
                <c:ptCount val="6"/>
                <c:pt idx="0">
                  <c:v>33</c:v>
                </c:pt>
                <c:pt idx="1">
                  <c:v>7</c:v>
                </c:pt>
                <c:pt idx="2">
                  <c:v>65</c:v>
                </c:pt>
                <c:pt idx="3">
                  <c:v>28</c:v>
                </c:pt>
                <c:pt idx="4">
                  <c:v>8</c:v>
                </c:pt>
                <c:pt idx="5">
                  <c:v>1</c:v>
                </c:pt>
              </c:numCache>
            </c:numRef>
          </c:val>
          <c:extLst>
            <c:ext xmlns:c16="http://schemas.microsoft.com/office/drawing/2014/chart" uri="{C3380CC4-5D6E-409C-BE32-E72D297353CC}">
              <c16:uniqueId val="{00000000-403C-4F56-B354-0BA240EE78F1}"/>
            </c:ext>
          </c:extLst>
        </c:ser>
        <c:dLbls>
          <c:showLegendKey val="0"/>
          <c:showVal val="0"/>
          <c:showCatName val="0"/>
          <c:showSerName val="0"/>
          <c:showPercent val="0"/>
          <c:showBubbleSize val="0"/>
        </c:dLbls>
        <c:gapWidth val="219"/>
        <c:overlap val="-27"/>
        <c:axId val="1423472671"/>
        <c:axId val="1355459695"/>
      </c:barChart>
      <c:catAx>
        <c:axId val="1423472671"/>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355459695"/>
        <c:crosses val="autoZero"/>
        <c:auto val="1"/>
        <c:lblAlgn val="ctr"/>
        <c:lblOffset val="100"/>
        <c:noMultiLvlLbl val="0"/>
      </c:catAx>
      <c:valAx>
        <c:axId val="1355459695"/>
        <c:scaling>
          <c:orientation val="minMax"/>
        </c:scaling>
        <c:delete val="0"/>
        <c:axPos val="l"/>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423472671"/>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1" Type="http://schemas.openxmlformats.org/officeDocument/2006/relationships/chart" Target="../charts/chart1.xml"/></Relationships>
</file>

<file path=xl/drawings/_rels/drawing2.xml.rels><?xml version="1.0" encoding="UTF-8" standalone="yes"?>
<Relationships xmlns="http://schemas.openxmlformats.org/package/2006/relationships"><Relationship Id="rId1" Type="http://schemas.openxmlformats.org/officeDocument/2006/relationships/chart" Target="../charts/chart2.xml"/></Relationships>
</file>

<file path=xl/drawings/drawing1.xml><?xml version="1.0" encoding="utf-8"?>
<xdr:wsDr xmlns:xdr="http://schemas.openxmlformats.org/drawingml/2006/spreadsheetDrawing" xmlns:a="http://schemas.openxmlformats.org/drawingml/2006/main">
  <xdr:twoCellAnchor>
    <xdr:from>
      <xdr:col>0</xdr:col>
      <xdr:colOff>601980</xdr:colOff>
      <xdr:row>10</xdr:row>
      <xdr:rowOff>175260</xdr:rowOff>
    </xdr:from>
    <xdr:to>
      <xdr:col>7</xdr:col>
      <xdr:colOff>601980</xdr:colOff>
      <xdr:row>25</xdr:row>
      <xdr:rowOff>167640</xdr:rowOff>
    </xdr:to>
    <xdr:graphicFrame macro="">
      <xdr:nvGraphicFramePr>
        <xdr:cNvPr id="4" name="Chart 3">
          <a:extLst>
            <a:ext uri="{FF2B5EF4-FFF2-40B4-BE49-F238E27FC236}">
              <a16:creationId xmlns:a16="http://schemas.microsoft.com/office/drawing/2014/main" id="{B5B3DE31-07ED-F968-12FA-BFFF53DC3CF5}"/>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oneCell">
    <xdr:from>
      <xdr:col>9</xdr:col>
      <xdr:colOff>10310</xdr:colOff>
      <xdr:row>11</xdr:row>
      <xdr:rowOff>15241</xdr:rowOff>
    </xdr:from>
    <xdr:to>
      <xdr:col>11</xdr:col>
      <xdr:colOff>368450</xdr:colOff>
      <xdr:row>23</xdr:row>
      <xdr:rowOff>38101</xdr:rowOff>
    </xdr:to>
    <mc:AlternateContent xmlns:mc="http://schemas.openxmlformats.org/markup-compatibility/2006" xmlns:a14="http://schemas.microsoft.com/office/drawing/2010/main">
      <mc:Choice Requires="a14">
        <xdr:graphicFrame macro="">
          <xdr:nvGraphicFramePr>
            <xdr:cNvPr id="5" name="match_status">
              <a:extLst>
                <a:ext uri="{FF2B5EF4-FFF2-40B4-BE49-F238E27FC236}">
                  <a16:creationId xmlns:a16="http://schemas.microsoft.com/office/drawing/2014/main" id="{B2B8BDC1-A05A-5A11-9621-6301F034FB3E}"/>
                </a:ext>
              </a:extLst>
            </xdr:cNvPr>
            <xdr:cNvGraphicFramePr/>
          </xdr:nvGraphicFramePr>
          <xdr:xfrm>
            <a:off x="0" y="0"/>
            <a:ext cx="0" cy="0"/>
          </xdr:xfrm>
          <a:graphic>
            <a:graphicData uri="http://schemas.microsoft.com/office/drawing/2010/slicer">
              <sle:slicer xmlns:sle="http://schemas.microsoft.com/office/drawing/2010/slicer" name="match_status"/>
            </a:graphicData>
          </a:graphic>
        </xdr:graphicFrame>
      </mc:Choice>
      <mc:Fallback xmlns="">
        <xdr:sp macro="" textlink="">
          <xdr:nvSpPr>
            <xdr:cNvPr id="0" name=""/>
            <xdr:cNvSpPr>
              <a:spLocks noTextEdit="1"/>
            </xdr:cNvSpPr>
          </xdr:nvSpPr>
          <xdr:spPr>
            <a:xfrm>
              <a:off x="5748170" y="2446021"/>
              <a:ext cx="1828800" cy="2217420"/>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12</xdr:col>
      <xdr:colOff>8965</xdr:colOff>
      <xdr:row>11</xdr:row>
      <xdr:rowOff>8966</xdr:rowOff>
    </xdr:from>
    <xdr:to>
      <xdr:col>13</xdr:col>
      <xdr:colOff>1228165</xdr:colOff>
      <xdr:row>17</xdr:row>
      <xdr:rowOff>161365</xdr:rowOff>
    </xdr:to>
    <mc:AlternateContent xmlns:mc="http://schemas.openxmlformats.org/markup-compatibility/2006" xmlns:a14="http://schemas.microsoft.com/office/drawing/2010/main">
      <mc:Choice Requires="a14">
        <xdr:graphicFrame macro="">
          <xdr:nvGraphicFramePr>
            <xdr:cNvPr id="7" name="confidence_tier">
              <a:extLst>
                <a:ext uri="{FF2B5EF4-FFF2-40B4-BE49-F238E27FC236}">
                  <a16:creationId xmlns:a16="http://schemas.microsoft.com/office/drawing/2014/main" id="{F2E96D21-E90D-1D94-11E1-5D104E489514}"/>
                </a:ext>
              </a:extLst>
            </xdr:cNvPr>
            <xdr:cNvGraphicFramePr/>
          </xdr:nvGraphicFramePr>
          <xdr:xfrm>
            <a:off x="0" y="0"/>
            <a:ext cx="0" cy="0"/>
          </xdr:xfrm>
          <a:graphic>
            <a:graphicData uri="http://schemas.microsoft.com/office/drawing/2010/slicer">
              <sle:slicer xmlns:sle="http://schemas.microsoft.com/office/drawing/2010/slicer" name="confidence_tier"/>
            </a:graphicData>
          </a:graphic>
        </xdr:graphicFrame>
      </mc:Choice>
      <mc:Fallback xmlns="">
        <xdr:sp macro="" textlink="">
          <xdr:nvSpPr>
            <xdr:cNvPr id="0" name=""/>
            <xdr:cNvSpPr>
              <a:spLocks noTextEdit="1"/>
            </xdr:cNvSpPr>
          </xdr:nvSpPr>
          <xdr:spPr>
            <a:xfrm>
              <a:off x="7827085" y="2439746"/>
              <a:ext cx="1828800" cy="1249679"/>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drawings/drawing2.xml><?xml version="1.0" encoding="utf-8"?>
<xdr:wsDr xmlns:xdr="http://schemas.openxmlformats.org/drawingml/2006/spreadsheetDrawing" xmlns:a="http://schemas.openxmlformats.org/drawingml/2006/main">
  <xdr:twoCellAnchor>
    <xdr:from>
      <xdr:col>0</xdr:col>
      <xdr:colOff>0</xdr:colOff>
      <xdr:row>8</xdr:row>
      <xdr:rowOff>7620</xdr:rowOff>
    </xdr:from>
    <xdr:to>
      <xdr:col>7</xdr:col>
      <xdr:colOff>594360</xdr:colOff>
      <xdr:row>23</xdr:row>
      <xdr:rowOff>7620</xdr:rowOff>
    </xdr:to>
    <xdr:graphicFrame macro="">
      <xdr:nvGraphicFramePr>
        <xdr:cNvPr id="2" name="Chart 1">
          <a:extLst>
            <a:ext uri="{FF2B5EF4-FFF2-40B4-BE49-F238E27FC236}">
              <a16:creationId xmlns:a16="http://schemas.microsoft.com/office/drawing/2014/main" id="{9CF4A89A-45E3-0786-4245-991F4FE2E019}"/>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oneCell">
    <xdr:from>
      <xdr:col>8</xdr:col>
      <xdr:colOff>99060</xdr:colOff>
      <xdr:row>8</xdr:row>
      <xdr:rowOff>15241</xdr:rowOff>
    </xdr:from>
    <xdr:to>
      <xdr:col>11</xdr:col>
      <xdr:colOff>53340</xdr:colOff>
      <xdr:row>14</xdr:row>
      <xdr:rowOff>175261</xdr:rowOff>
    </xdr:to>
    <mc:AlternateContent xmlns:mc="http://schemas.openxmlformats.org/markup-compatibility/2006" xmlns:a14="http://schemas.microsoft.com/office/drawing/2010/main">
      <mc:Choice Requires="a14">
        <xdr:graphicFrame macro="">
          <xdr:nvGraphicFramePr>
            <xdr:cNvPr id="4" name="confidence_tier 1">
              <a:extLst>
                <a:ext uri="{FF2B5EF4-FFF2-40B4-BE49-F238E27FC236}">
                  <a16:creationId xmlns:a16="http://schemas.microsoft.com/office/drawing/2014/main" id="{36A37C74-4A19-75A8-CF39-FB5B0BC266FF}"/>
                </a:ext>
              </a:extLst>
            </xdr:cNvPr>
            <xdr:cNvGraphicFramePr/>
          </xdr:nvGraphicFramePr>
          <xdr:xfrm>
            <a:off x="0" y="0"/>
            <a:ext cx="0" cy="0"/>
          </xdr:xfrm>
          <a:graphic>
            <a:graphicData uri="http://schemas.microsoft.com/office/drawing/2010/slicer">
              <sle:slicer xmlns:sle="http://schemas.microsoft.com/office/drawing/2010/slicer" name="confidence_tier 1"/>
            </a:graphicData>
          </a:graphic>
        </xdr:graphicFrame>
      </mc:Choice>
      <mc:Fallback xmlns="">
        <xdr:sp macro="" textlink="">
          <xdr:nvSpPr>
            <xdr:cNvPr id="0" name=""/>
            <xdr:cNvSpPr>
              <a:spLocks noTextEdit="1"/>
            </xdr:cNvSpPr>
          </xdr:nvSpPr>
          <xdr:spPr>
            <a:xfrm>
              <a:off x="4975860" y="1744981"/>
              <a:ext cx="1783080" cy="1257300"/>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VIJAY" refreshedDate="46264.598156597225" createdVersion="8" refreshedVersion="8" minRefreshableVersion="3" recordCount="993" xr:uid="{882A4F3C-365F-4A35-90D8-E9EB249D81E8}">
  <cacheSource type="worksheet">
    <worksheetSource name="reconciliation_results_v4"/>
  </cacheSource>
  <cacheFields count="16">
    <cacheField name="bank_transaction_id" numFmtId="0">
      <sharedItems/>
    </cacheField>
    <cacheField name="ledger_id" numFmtId="0">
      <sharedItems/>
    </cacheField>
    <cacheField name="bank_date" numFmtId="14">
      <sharedItems containsNonDate="0" containsDate="1" containsString="0" containsBlank="1" minDate="2023-06-27T00:00:00" maxDate="2024-05-31T00:00:00"/>
    </cacheField>
    <cacheField name="ledger_date" numFmtId="14">
      <sharedItems containsNonDate="0" containsDate="1" containsString="0" containsBlank="1" minDate="2023-06-27T00:00:00" maxDate="2024-05-31T00:00:00"/>
    </cacheField>
    <cacheField name="bank_amount" numFmtId="0">
      <sharedItems containsString="0" containsBlank="1" containsNumber="1" containsInteger="1" minValue="1" maxValue="45000"/>
    </cacheField>
    <cacheField name="ledger_amount" numFmtId="0">
      <sharedItems containsString="0" containsBlank="1" containsNumber="1" minValue="1" maxValue="45000"/>
    </cacheField>
    <cacheField name="amount_difference" numFmtId="0">
      <sharedItems containsString="0" containsBlank="1" containsNumber="1" minValue="-1112" maxValue="300"/>
    </cacheField>
    <cacheField name="date_difference_days" numFmtId="0">
      <sharedItems containsString="0" containsBlank="1" containsNumber="1" containsInteger="1" minValue="-249" maxValue="212"/>
    </cacheField>
    <cacheField name="bank_description" numFmtId="0">
      <sharedItems/>
    </cacheField>
    <cacheField name="ledger_description" numFmtId="0">
      <sharedItems/>
    </cacheField>
    <cacheField name="match_status" numFmtId="0">
      <sharedItems count="7">
        <s v="Matched"/>
        <s v="Potential Match"/>
        <s v="Unmatched Bank Transaction"/>
        <s v="Timing Difference"/>
        <s v="Amount Mismatch"/>
        <s v="Unmatched Ledger Transaction"/>
        <s v="Duplicate Candidate"/>
      </sharedItems>
    </cacheField>
    <cacheField name="match_reason" numFmtId="0">
      <sharedItems/>
    </cacheField>
    <cacheField name="confidence_score" numFmtId="0">
      <sharedItems containsSemiMixedTypes="0" containsString="0" containsNumber="1" containsInteger="1" minValue="0" maxValue="100"/>
    </cacheField>
    <cacheField name="confidence_tier" numFmtId="0">
      <sharedItems count="3">
        <s v="High"/>
        <s v="Medium"/>
        <s v="Low"/>
      </sharedItems>
    </cacheField>
    <cacheField name="duplicate_flag" numFmtId="0">
      <sharedItems/>
    </cacheField>
    <cacheField name="duplicate_note" numFmtId="0">
      <sharedItems/>
    </cacheField>
  </cacheFields>
  <extLst>
    <ext xmlns:x14="http://schemas.microsoft.com/office/spreadsheetml/2009/9/main" uri="{725AE2AE-9491-48be-B2B4-4EB974FC3084}">
      <x14:pivotCacheDefinition pivotCacheId="5336303"/>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993">
  <r>
    <s v="6e80ee9f-49b5-434f-8ab6-f192a2296e6c"/>
    <s v="LED100001"/>
    <d v="2023-06-27T00:00:00"/>
    <d v="2023-06-27T00:00:00"/>
    <n v="100"/>
    <n v="100"/>
    <n v="0"/>
    <n v="0"/>
    <s v="GAS FILLING STATION"/>
    <s v="GAS FILLING STATION"/>
    <x v="0"/>
    <s v="Exact amount + date + transaction type"/>
    <n v="95"/>
    <x v="0"/>
    <s v="No"/>
    <s v="No duplicate candidate"/>
  </r>
  <r>
    <s v="a734aa85-4bf8-44c0-b508-305f554dc51e"/>
    <s v="LED100002"/>
    <d v="2023-06-28T00:00:00"/>
    <d v="2023-06-28T00:00:00"/>
    <n v="170"/>
    <n v="170"/>
    <n v="0"/>
    <n v="0"/>
    <s v="GAS FILLING STATION"/>
    <s v="GAS FILLING STATION"/>
    <x v="0"/>
    <s v="Exact amount + date + transaction type"/>
    <n v="95"/>
    <x v="0"/>
    <s v="No"/>
    <s v="No duplicate candidate"/>
  </r>
  <r>
    <s v="dc44e071-399f-4ec2-b6ec-64f9e8a05a8a"/>
    <s v="LED100003"/>
    <d v="2023-07-26T00:00:00"/>
    <d v="2023-07-26T00:00:00"/>
    <n v="500"/>
    <n v="500"/>
    <n v="0"/>
    <n v="0"/>
    <s v="GAS FILLING STATION"/>
    <s v="GAS FILLING STATION"/>
    <x v="0"/>
    <s v="Exact amount + date + transaction type"/>
    <n v="95"/>
    <x v="0"/>
    <s v="No"/>
    <s v="No duplicate candidate"/>
  </r>
  <r>
    <s v="0adc1ed0-4809-462d-855c-84cda5593c80"/>
    <s v="LED100004"/>
    <d v="2023-07-31T00:00:00"/>
    <d v="2023-07-31T00:00:00"/>
    <n v="15"/>
    <n v="15"/>
    <n v="0"/>
    <n v="0"/>
    <s v="5188810"/>
    <s v="5188810"/>
    <x v="0"/>
    <s v="Exact amount + date + transaction type"/>
    <n v="95"/>
    <x v="0"/>
    <s v="No"/>
    <s v="No duplicate candidate"/>
  </r>
  <r>
    <s v="1a018d91-db8a-416d-b49f-d03a84bc5c7b"/>
    <s v="LED100005"/>
    <d v="2023-08-07T00:00:00"/>
    <d v="2023-08-07T00:00:00"/>
    <n v="1000"/>
    <n v="1000"/>
    <n v="0"/>
    <n v="0"/>
    <s v="ATM"/>
    <s v="ATM WITHDRAWAL"/>
    <x v="0"/>
    <s v="Exact amount + date + transaction type"/>
    <n v="95"/>
    <x v="0"/>
    <s v="No"/>
    <s v="No duplicate candidate"/>
  </r>
  <r>
    <s v="33bd1687-6ab2-43c5-be5f-d150f412834c"/>
    <s v="LED100006"/>
    <d v="2023-08-22T00:00:00"/>
    <d v="2023-08-22T00:00:00"/>
    <n v="1"/>
    <n v="1"/>
    <n v="0"/>
    <n v="0"/>
    <s v="UPI/3234"/>
    <s v="UPI PAYMENT/3234"/>
    <x v="0"/>
    <s v="Exact amount + date + transaction type"/>
    <n v="95"/>
    <x v="0"/>
    <s v="No"/>
    <s v="No duplicate candidate"/>
  </r>
  <r>
    <s v="b87c4941-ad5b-41b7-9cda-4956a05a042e"/>
    <s v="LED100007"/>
    <d v="2023-08-22T00:00:00"/>
    <d v="2023-08-22T00:00:00"/>
    <n v="3000"/>
    <n v="3000"/>
    <n v="0"/>
    <n v="0"/>
    <s v="UPI/3234"/>
    <s v="UPI PAYMENT/3234"/>
    <x v="0"/>
    <s v="Exact amount + date + transaction type"/>
    <n v="95"/>
    <x v="0"/>
    <s v="No"/>
    <s v="No duplicate candidate"/>
  </r>
  <r>
    <s v="8bba53c3-7a35-40d6-a38c-fc142c432455"/>
    <s v="LED100008"/>
    <d v="2023-08-22T00:00:00"/>
    <d v="2023-08-22T00:00:00"/>
    <n v="300"/>
    <n v="300"/>
    <n v="0"/>
    <n v="0"/>
    <s v="UPI/32345"/>
    <s v="UPI PAYMENT/32345"/>
    <x v="0"/>
    <s v="Exact amount + date + transaction type"/>
    <n v="95"/>
    <x v="0"/>
    <s v="No"/>
    <s v="No duplicate candidate"/>
  </r>
  <r>
    <s v="fd9c35d1-b32c-40f2-9e3e-0ddfe1d24cad"/>
    <s v="LED100009"/>
    <d v="2023-08-23T00:00:00"/>
    <d v="2023-08-23T00:00:00"/>
    <n v="1200"/>
    <n v="1200"/>
    <n v="0"/>
    <n v="0"/>
    <s v="UPI/3235"/>
    <s v="UPI PAYMENT/3235"/>
    <x v="0"/>
    <s v="Exact amount + date + transaction type"/>
    <n v="95"/>
    <x v="0"/>
    <s v="No"/>
    <s v="No duplicate candidate"/>
  </r>
  <r>
    <s v="d2407a2c-15f3-46c2-b658-f9b66de3b6fd"/>
    <s v="LED100010"/>
    <d v="2023-08-23T00:00:00"/>
    <d v="2023-08-23T00:00:00"/>
    <n v="400"/>
    <n v="400"/>
    <n v="0"/>
    <n v="0"/>
    <s v="UPI/ent"/>
    <s v="UPI PAYMENT/ENT"/>
    <x v="0"/>
    <s v="Exact amount + date + transaction type"/>
    <n v="95"/>
    <x v="0"/>
    <s v="No"/>
    <s v="No duplicate candidate"/>
  </r>
  <r>
    <s v="b347d492-3798-4af9-b684-b136ecc2163e"/>
    <s v="LED100011"/>
    <d v="2023-08-24T00:00:00"/>
    <d v="2023-08-24T00:00:00"/>
    <n v="500"/>
    <n v="500"/>
    <n v="0"/>
    <n v="0"/>
    <s v="UPI/3236"/>
    <s v="UPI PAYMENT/3236"/>
    <x v="0"/>
    <s v="Exact amount + date + transaction type"/>
    <n v="95"/>
    <x v="0"/>
    <s v="No"/>
    <s v="No duplicate candidate"/>
  </r>
  <r>
    <s v="2502b83f-52a0-459a-acc2-058856a6025f"/>
    <s v="LED100012"/>
    <d v="2023-08-24T00:00:00"/>
    <d v="2023-08-24T00:00:00"/>
    <n v="300"/>
    <n v="300"/>
    <n v="0"/>
    <n v="0"/>
    <s v="UPI/3236"/>
    <s v="UPI PAYMENT/3236"/>
    <x v="0"/>
    <s v="Exact amount + date + transaction type"/>
    <n v="95"/>
    <x v="0"/>
    <s v="No"/>
    <s v="No duplicate candidate"/>
  </r>
  <r>
    <s v="ef7cdb44-66aa-4523-bafb-bc36528ffb08"/>
    <s v="LED100013"/>
    <d v="2023-08-24T00:00:00"/>
    <d v="2023-08-24T00:00:00"/>
    <n v="140"/>
    <n v="140"/>
    <n v="0"/>
    <n v="0"/>
    <s v="UPI/3236"/>
    <s v="UPI PAYMENT/3236"/>
    <x v="0"/>
    <s v="Exact amount + date + transaction type"/>
    <n v="95"/>
    <x v="0"/>
    <s v="No"/>
    <s v="No duplicate candidate"/>
  </r>
  <r>
    <s v="cb0dda74-4491-4005-9038-5d4d2d3d8f69"/>
    <s v="LED100014"/>
    <d v="2023-08-24T00:00:00"/>
    <d v="2023-08-24T00:00:00"/>
    <n v="400"/>
    <n v="400"/>
    <n v="0"/>
    <n v="0"/>
    <s v="UPI/3236"/>
    <s v="UPI PAYMENT/3236"/>
    <x v="0"/>
    <s v="Exact amount + date + transaction type"/>
    <n v="95"/>
    <x v="0"/>
    <s v="No"/>
    <s v="No duplicate candidate"/>
  </r>
  <r>
    <s v="504ea1a4-880a-4336-be91-722f93d03d76"/>
    <s v="LED100015"/>
    <d v="2023-08-24T00:00:00"/>
    <d v="2023-08-24T00:00:00"/>
    <n v="750"/>
    <n v="750"/>
    <n v="0"/>
    <n v="0"/>
    <s v="UPI/3236"/>
    <s v="UPI PAYMENT/3236"/>
    <x v="0"/>
    <s v="Exact amount + date + transaction type"/>
    <n v="95"/>
    <x v="0"/>
    <s v="No"/>
    <s v="No duplicate candidate"/>
  </r>
  <r>
    <s v="72b8aab6-5ec1-4204-9c6c-703251f82cae"/>
    <s v="LED100016"/>
    <d v="2023-08-24T00:00:00"/>
    <d v="2023-08-24T00:00:00"/>
    <n v="80"/>
    <n v="80"/>
    <n v="0"/>
    <n v="0"/>
    <s v="UPI/BHARATPE6"/>
    <s v="UPI PAYMENT/BHARATPE6"/>
    <x v="0"/>
    <s v="Exact amount + date + transaction type"/>
    <n v="95"/>
    <x v="0"/>
    <s v="No"/>
    <s v="No duplicate candidate"/>
  </r>
  <r>
    <s v="ecc76954-7c8f-4fc0-9e51-6fa35a1b4cac"/>
    <s v="LED100017"/>
    <d v="2023-08-24T00:00:00"/>
    <d v="2023-08-24T00:00:00"/>
    <n v="30"/>
    <n v="30"/>
    <n v="0"/>
    <n v="0"/>
    <s v="UPI/3236"/>
    <s v="UPI PAYMENT/3236"/>
    <x v="0"/>
    <s v="Exact amount + date + transaction type"/>
    <n v="95"/>
    <x v="0"/>
    <s v="No"/>
    <s v="No duplicate candidate"/>
  </r>
  <r>
    <s v="d26c20ba-4ed1-4ea0-81b0-d864d6905ce6"/>
    <s v="LED100018"/>
    <d v="2023-08-25T00:00:00"/>
    <d v="2023-08-25T00:00:00"/>
    <n v="2480"/>
    <n v="2480"/>
    <n v="0"/>
    <n v="0"/>
    <s v="UPI/3237"/>
    <s v="UPI PAYMENT/3237"/>
    <x v="0"/>
    <s v="Exact amount + date + transaction type"/>
    <n v="95"/>
    <x v="0"/>
    <s v="No"/>
    <s v="No duplicate candidate"/>
  </r>
  <r>
    <s v="4d14d160-484b-4f1d-822a-106f7e4d6cd0"/>
    <s v="LED100019"/>
    <d v="2023-08-25T00:00:00"/>
    <d v="2023-08-25T00:00:00"/>
    <n v="1450"/>
    <n v="1450"/>
    <n v="0"/>
    <n v="0"/>
    <s v="UPI/32372"/>
    <s v="UPI PAYMENT/32372"/>
    <x v="0"/>
    <s v="Exact amount + date + transaction type"/>
    <n v="95"/>
    <x v="0"/>
    <s v="No"/>
    <s v="No duplicate candidate"/>
  </r>
  <r>
    <s v="2395c8a5-2d7b-45ff-8279-07160dc2b24f"/>
    <s v="LED100020"/>
    <d v="2023-08-25T00:00:00"/>
    <d v="2023-08-25T00:00:00"/>
    <n v="120"/>
    <n v="120"/>
    <n v="0"/>
    <n v="0"/>
    <s v="UPI/BHARATPE"/>
    <s v="UPI PAYMENT/BHARATPE"/>
    <x v="0"/>
    <s v="Exact amount + date + transaction type"/>
    <n v="95"/>
    <x v="0"/>
    <s v="No"/>
    <s v="No duplicate candidate"/>
  </r>
  <r>
    <s v="60867cfd-705b-44ba-9183-9fd57069d79b"/>
    <s v="LED100021"/>
    <d v="2023-08-25T00:00:00"/>
    <d v="2023-08-25T00:00:00"/>
    <n v="480"/>
    <n v="480"/>
    <n v="0"/>
    <n v="0"/>
    <s v="UPI/36035"/>
    <s v="UPI PAYMENT/36035"/>
    <x v="0"/>
    <s v="Exact amount + date + transaction type"/>
    <n v="95"/>
    <x v="0"/>
    <s v="No"/>
    <s v="No duplicate candidate"/>
  </r>
  <r>
    <s v="9760f363-bad8-44f4-99cb-8d9c97dccc4c"/>
    <s v="LED100022"/>
    <d v="2023-08-25T00:00:00"/>
    <d v="2023-08-25T00:00:00"/>
    <n v="1"/>
    <n v="1"/>
    <n v="0"/>
    <n v="0"/>
    <s v="IMPS"/>
    <s v="IMPS PAYMENT"/>
    <x v="1"/>
    <s v="Amount + type match with description similarity 100%"/>
    <n v="85"/>
    <x v="1"/>
    <s v="No"/>
    <s v="No duplicate candidate"/>
  </r>
  <r>
    <s v="b128ae36-e103-40fb-b402-dda22c0540a0"/>
    <s v="LED100023"/>
    <d v="2023-08-25T00:00:00"/>
    <d v="2023-08-25T00:00:00"/>
    <n v="1"/>
    <n v="1"/>
    <n v="0"/>
    <n v="0"/>
    <s v="UPI/PAYTM"/>
    <s v="UPI PAYMENT/PAYTM"/>
    <x v="1"/>
    <s v="Amount + type match with description similarity 100%"/>
    <n v="85"/>
    <x v="1"/>
    <s v="No"/>
    <s v="No duplicate candidate"/>
  </r>
  <r>
    <s v="b224b31a-93e8-4726-9853-e355c677a612"/>
    <s v="LED100024"/>
    <d v="2023-08-25T00:00:00"/>
    <d v="2023-08-25T00:00:00"/>
    <n v="1"/>
    <n v="1"/>
    <n v="0"/>
    <n v="0"/>
    <s v="UPI/32375"/>
    <s v="UPI PAYMENT/32375"/>
    <x v="0"/>
    <s v="Exact amount + date + transaction type"/>
    <n v="95"/>
    <x v="0"/>
    <s v="No"/>
    <s v="No duplicate candidate"/>
  </r>
  <r>
    <s v="24f677df-0d22-4ee9-a72e-228f9898062b"/>
    <s v="LED100025"/>
    <d v="2023-08-25T00:00:00"/>
    <d v="2023-08-25T00:00:00"/>
    <n v="21"/>
    <n v="21"/>
    <n v="0"/>
    <n v="0"/>
    <s v="UPI/32378/goog-payment"/>
    <s v="UPI PAYMENT/32378/GOOG-PAYMENT"/>
    <x v="0"/>
    <s v="Exact amount + date + transaction type"/>
    <n v="95"/>
    <x v="0"/>
    <s v="No"/>
    <s v="No duplicate candidate"/>
  </r>
  <r>
    <s v="a25eeba0-6e08-45cb-9eb3-5583b6f9ec58"/>
    <s v="LED100026"/>
    <d v="2023-08-25T00:00:00"/>
    <d v="2023-08-25T00:00:00"/>
    <n v="1"/>
    <n v="1"/>
    <n v="0"/>
    <n v="0"/>
    <s v="NEFT"/>
    <s v="NEFT PAYMENT"/>
    <x v="0"/>
    <s v="Exact reference + amount + date + type"/>
    <n v="100"/>
    <x v="0"/>
    <s v="No"/>
    <s v="No duplicate candidate"/>
  </r>
  <r>
    <s v="71bdd916-a4ad-4d30-9a0f-796611e2724f"/>
    <s v="LED100027"/>
    <d v="2023-08-25T00:00:00"/>
    <d v="2023-08-25T00:00:00"/>
    <n v="1000"/>
    <n v="1000"/>
    <n v="0"/>
    <n v="0"/>
    <s v="UPI/3237"/>
    <s v="UPI PAYMENT/3237"/>
    <x v="0"/>
    <s v="Exact amount + date + transaction type"/>
    <n v="95"/>
    <x v="0"/>
    <s v="No"/>
    <s v="No duplicate candidate"/>
  </r>
  <r>
    <s v="f36f9696-82f7-47b1-9290-75cd13d701ac"/>
    <s v="LED100028"/>
    <d v="2023-08-25T00:00:00"/>
    <d v="2023-08-25T00:00:00"/>
    <n v="30"/>
    <n v="30"/>
    <n v="0"/>
    <n v="0"/>
    <s v="UPI/3603"/>
    <s v="UPI PAYMENT/3603"/>
    <x v="0"/>
    <s v="Exact amount + date + transaction type"/>
    <n v="95"/>
    <x v="0"/>
    <s v="No"/>
    <s v="No duplicate candidate"/>
  </r>
  <r>
    <s v="c2ca6026-dd22-490f-8e8e-6bb1d033ec58"/>
    <s v="LED100029"/>
    <d v="2023-08-25T00:00:00"/>
    <d v="2023-08-25T00:00:00"/>
    <n v="51"/>
    <n v="51"/>
    <n v="0"/>
    <n v="0"/>
    <s v="IMPS"/>
    <s v="IMPS PAYMENT"/>
    <x v="0"/>
    <s v="Exact amount + date + transaction type"/>
    <n v="95"/>
    <x v="0"/>
    <s v="No"/>
    <s v="No duplicate candidate"/>
  </r>
  <r>
    <s v="dec347ca-1df8-4834-bf12-a7ec81d4faeb"/>
    <s v="LED100030"/>
    <d v="2023-08-26T00:00:00"/>
    <d v="2023-08-26T00:00:00"/>
    <n v="1"/>
    <n v="1"/>
    <n v="0"/>
    <n v="0"/>
    <s v="UPI/BHARATPE"/>
    <s v="UPI PAYMENT/BHARATPE"/>
    <x v="0"/>
    <s v="Exact amount + date + transaction type"/>
    <n v="95"/>
    <x v="0"/>
    <s v="No"/>
    <s v="No duplicate candidate"/>
  </r>
  <r>
    <s v="676db4e7-86c0-42e5-87f7-991d729ebd66"/>
    <s v="LED100031"/>
    <d v="2023-08-26T00:00:00"/>
    <d v="2023-08-26T00:00:00"/>
    <n v="500"/>
    <n v="500"/>
    <n v="0"/>
    <n v="0"/>
    <s v="UPI/3238"/>
    <s v="UPI PAYMENT/3238"/>
    <x v="1"/>
    <s v="Amount + type match with description similarity 100%"/>
    <n v="85"/>
    <x v="1"/>
    <s v="No"/>
    <s v="No duplicate candidate"/>
  </r>
  <r>
    <s v="ce354233-4a2f-499b-86f4-cc9ad4c0ccb7"/>
    <s v="LED100032"/>
    <d v="2023-08-26T00:00:00"/>
    <d v="2023-08-26T00:00:00"/>
    <n v="500"/>
    <n v="500"/>
    <n v="0"/>
    <n v="0"/>
    <s v="UPI/32382"/>
    <s v="UPI PAYMENT/32382"/>
    <x v="0"/>
    <s v="Exact amount + date + transaction type"/>
    <n v="95"/>
    <x v="0"/>
    <s v="No"/>
    <s v="No duplicate candidate"/>
  </r>
  <r>
    <s v="e47c0f6b-669c-4846-a4e1-a9c1abb74a49"/>
    <s v="LED100033"/>
    <d v="2023-08-26T00:00:00"/>
    <d v="2023-08-26T00:00:00"/>
    <n v="700"/>
    <n v="700"/>
    <n v="0"/>
    <n v="0"/>
    <s v="UPI/32384"/>
    <s v="UPI PAYMENT/32384"/>
    <x v="0"/>
    <s v="Exact amount + date + transaction type"/>
    <n v="95"/>
    <x v="0"/>
    <s v="No"/>
    <s v="No duplicate candidate"/>
  </r>
  <r>
    <s v="9da292b1-e6ff-4aec-ba17-1e9596be288d"/>
    <s v="LED100034"/>
    <d v="2023-08-26T00:00:00"/>
    <d v="2023-08-26T00:00:00"/>
    <n v="60"/>
    <n v="60"/>
    <n v="0"/>
    <n v="0"/>
    <s v="UPI/BHARATPE"/>
    <s v="UPI PAYMENT/BHARATPE"/>
    <x v="0"/>
    <s v="Exact amount + date + transaction type"/>
    <n v="95"/>
    <x v="0"/>
    <s v="No"/>
    <s v="No duplicate candidate"/>
  </r>
  <r>
    <s v="622a4877-d66b-4659-95f2-c834bc437044"/>
    <s v="LED100035"/>
    <d v="2023-08-26T00:00:00"/>
    <d v="2023-08-26T00:00:00"/>
    <n v="20"/>
    <n v="20"/>
    <n v="0"/>
    <n v="0"/>
    <s v="UPI/BHARATPE"/>
    <s v="UPI PAYMENT/BHARATPE"/>
    <x v="0"/>
    <s v="Exact amount + date + transaction type"/>
    <n v="95"/>
    <x v="0"/>
    <s v="No"/>
    <s v="No duplicate candidate"/>
  </r>
  <r>
    <s v="7c0b0fd3-5719-4c8f-be35-9a1eb624c282"/>
    <s v="LED100036"/>
    <d v="2023-08-27T00:00:00"/>
    <d v="2023-08-27T00:00:00"/>
    <n v="1"/>
    <n v="1"/>
    <n v="0"/>
    <n v="0"/>
    <s v="UPI/32394"/>
    <s v="UPI PAYMENT/32394"/>
    <x v="0"/>
    <s v="Exact amount + date + transaction type"/>
    <n v="95"/>
    <x v="0"/>
    <s v="No"/>
    <s v="No duplicate candidate"/>
  </r>
  <r>
    <s v="016a5f57-2be1-4c57-a806-9076e198a71f"/>
    <s v="LED100037"/>
    <d v="2023-08-27T00:00:00"/>
    <d v="2023-08-27T00:00:00"/>
    <n v="1499"/>
    <n v="1499"/>
    <n v="0"/>
    <n v="0"/>
    <s v="UPI/3239"/>
    <s v="UPI PAYMENT/3239"/>
    <x v="0"/>
    <s v="Exact amount + date + transaction type"/>
    <n v="95"/>
    <x v="0"/>
    <s v="No"/>
    <s v="No duplicate candidate"/>
  </r>
  <r>
    <s v="345f0d46-25ad-497a-85d7-9047543df60e"/>
    <s v="LED100038"/>
    <d v="2023-08-27T00:00:00"/>
    <d v="2023-08-27T00:00:00"/>
    <n v="240"/>
    <n v="240"/>
    <n v="0"/>
    <n v="0"/>
    <s v="UPI/32390/"/>
    <s v="UPI PAYMENT/32390/"/>
    <x v="0"/>
    <s v="Exact amount + date + transaction type"/>
    <n v="95"/>
    <x v="0"/>
    <s v="No"/>
    <s v="No duplicate candidate"/>
  </r>
  <r>
    <s v="e1f0ba13-39fa-4fa9-bcb1-47aab5a5e746"/>
    <s v="LED100039"/>
    <d v="2023-08-28T00:00:00"/>
    <d v="2023-08-28T00:00:00"/>
    <n v="850"/>
    <n v="850"/>
    <n v="0"/>
    <n v="0"/>
    <s v="IMPS"/>
    <s v="IMPS PAYMENT"/>
    <x v="0"/>
    <s v="Exact amount + date + transaction type"/>
    <n v="95"/>
    <x v="0"/>
    <s v="No"/>
    <s v="No duplicate candidate"/>
  </r>
  <r>
    <s v="6de89130-04ff-44c2-8801-88fca93609a9"/>
    <s v="LED100040"/>
    <d v="2023-08-28T00:00:00"/>
    <d v="2023-08-28T00:00:00"/>
    <n v="10"/>
    <n v="10"/>
    <n v="0"/>
    <n v="0"/>
    <s v="AMZN"/>
    <s v="AMZN"/>
    <x v="0"/>
    <s v="Exact amount + date + transaction type"/>
    <n v="95"/>
    <x v="0"/>
    <s v="No"/>
    <s v="No duplicate candidate"/>
  </r>
  <r>
    <s v="febe3439-44d2-4ab8-a972-cdb1f72e43aa"/>
    <s v="LED100041"/>
    <d v="2023-08-29T00:00:00"/>
    <d v="2023-08-29T00:00:00"/>
    <n v="1200"/>
    <n v="1200"/>
    <n v="0"/>
    <n v="0"/>
    <s v="UPI/3241"/>
    <s v="UPI PAYMENT/3241"/>
    <x v="0"/>
    <s v="Exact amount + date + transaction type"/>
    <n v="95"/>
    <x v="0"/>
    <s v="No"/>
    <s v="No duplicate candidate"/>
  </r>
  <r>
    <s v="d2987357-92f2-4c9e-99a6-7692e931be22"/>
    <s v="LED100042"/>
    <d v="2023-08-29T00:00:00"/>
    <d v="2023-08-29T00:00:00"/>
    <n v="600"/>
    <n v="600"/>
    <n v="0"/>
    <n v="0"/>
    <s v="IMPS"/>
    <s v="IMPS PAYMENT"/>
    <x v="0"/>
    <s v="Exact amount + date + transaction type"/>
    <n v="95"/>
    <x v="0"/>
    <s v="No"/>
    <s v="No duplicate candidate"/>
  </r>
  <r>
    <s v="c2aa2280-77b1-4f14-a157-de477ec6b924"/>
    <s v=""/>
    <d v="2023-08-29T00:00:00"/>
    <m/>
    <n v="100"/>
    <m/>
    <m/>
    <m/>
    <s v="UPI/3241"/>
    <s v=""/>
    <x v="2"/>
    <s v="No suitable ledger transaction found"/>
    <n v="0"/>
    <x v="2"/>
    <s v="No"/>
    <s v="No duplicate candidate"/>
  </r>
  <r>
    <s v="ad797524-235c-4edb-b939-47647c17558c"/>
    <s v="LED100044"/>
    <d v="2023-08-30T00:00:00"/>
    <d v="2023-08-30T00:00:00"/>
    <n v="15"/>
    <n v="15"/>
    <n v="0"/>
    <n v="0"/>
    <s v="UPI/JIOINAPPDIRECT/"/>
    <s v="UPI PAYMENT/JIOINAPPDIRECT/"/>
    <x v="0"/>
    <s v="Exact amount + date + transaction type"/>
    <n v="95"/>
    <x v="0"/>
    <s v="No"/>
    <s v="No duplicate candidate"/>
  </r>
  <r>
    <s v="0494c9e3-ee71-4d31-b923-e723a1df44c3"/>
    <s v="LED100045"/>
    <d v="2023-08-30T00:00:00"/>
    <d v="2023-08-30T00:00:00"/>
    <n v="600"/>
    <n v="600"/>
    <n v="0"/>
    <n v="0"/>
    <s v="IMPS"/>
    <s v="IMPS PAYMENT"/>
    <x v="0"/>
    <s v="Exact amount + date + transaction type"/>
    <n v="95"/>
    <x v="0"/>
    <s v="No"/>
    <s v="No duplicate candidate"/>
  </r>
  <r>
    <s v="3fd5bdaf-a0ec-4108-8f31-b39d54ba740d"/>
    <s v="LED100046"/>
    <d v="2023-08-30T00:00:00"/>
    <d v="2023-08-30T00:00:00"/>
    <n v="170"/>
    <n v="170"/>
    <n v="0"/>
    <n v="0"/>
    <s v="IMPS"/>
    <s v="IMPS PAYMENT"/>
    <x v="0"/>
    <s v="Exact amount + date + transaction type"/>
    <n v="95"/>
    <x v="0"/>
    <s v="No"/>
    <s v="No duplicate candidate"/>
  </r>
  <r>
    <s v="6ad58ee6-705a-4a71-8e43-c7ed1e88088f"/>
    <s v="LED100047"/>
    <d v="2023-08-31T00:00:00"/>
    <d v="2023-08-31T00:00:00"/>
    <n v="350"/>
    <n v="350"/>
    <n v="0"/>
    <n v="0"/>
    <s v="NEFT"/>
    <s v="NEFT PAYMENT"/>
    <x v="0"/>
    <s v="Exact reference + amount + date + type"/>
    <n v="100"/>
    <x v="0"/>
    <s v="No"/>
    <s v="No duplicate candidate"/>
  </r>
  <r>
    <s v="c722d3c1-53df-4e6d-bc90-f14dbb97376b"/>
    <s v="LED100048"/>
    <d v="2023-08-31T00:00:00"/>
    <d v="2023-08-31T00:00:00"/>
    <n v="750"/>
    <n v="750"/>
    <n v="0"/>
    <n v="0"/>
    <s v="IMPS"/>
    <s v="IMPS PAYMENT"/>
    <x v="0"/>
    <s v="Exact amount + date + transaction type"/>
    <n v="95"/>
    <x v="0"/>
    <s v="No"/>
    <s v="No duplicate candidate"/>
  </r>
  <r>
    <s v="c75c6d29-5934-42c3-bbda-dfc773f0100a"/>
    <s v="LED100049"/>
    <d v="2023-08-31T00:00:00"/>
    <d v="2023-08-31T00:00:00"/>
    <n v="1200"/>
    <n v="1200"/>
    <n v="0"/>
    <n v="0"/>
    <s v="UPI/PAYTMNA"/>
    <s v="UPI PAYMENT/PAYTMNA"/>
    <x v="0"/>
    <s v="Exact amount + date + transaction type"/>
    <n v="95"/>
    <x v="0"/>
    <s v="No"/>
    <s v="No duplicate candidate"/>
  </r>
  <r>
    <s v="794a682b-5b7a-4444-bd6a-5a3db9f9f1a3"/>
    <s v="LED100050"/>
    <d v="2023-08-31T00:00:00"/>
    <d v="2023-08-31T00:00:00"/>
    <n v="200"/>
    <n v="200"/>
    <n v="0"/>
    <n v="0"/>
    <s v="UPI/3609"/>
    <s v="UPI PAYMENT/3609"/>
    <x v="0"/>
    <s v="Exact amount + date + transaction type"/>
    <n v="95"/>
    <x v="0"/>
    <s v="No"/>
    <s v="No duplicate candidate"/>
  </r>
  <r>
    <s v="7a6487f4-2008-4358-a761-2bd30994ae38"/>
    <s v="LED100051"/>
    <d v="2023-08-31T00:00:00"/>
    <d v="2023-08-31T00:00:00"/>
    <n v="50"/>
    <n v="50"/>
    <n v="0"/>
    <n v="0"/>
    <s v="UPI/3609"/>
    <s v="UPI PAYMENT/3609"/>
    <x v="0"/>
    <s v="Exact amount + date + transaction type"/>
    <n v="95"/>
    <x v="0"/>
    <s v="No"/>
    <s v="No duplicate candidate"/>
  </r>
  <r>
    <s v="7a9c2faa-5032-42bb-9987-38cf36e1335b"/>
    <s v="LED100052"/>
    <d v="2023-09-01T00:00:00"/>
    <d v="2023-09-01T00:00:00"/>
    <n v="3500"/>
    <n v="3500"/>
    <n v="0"/>
    <n v="0"/>
    <s v="UPI/32445"/>
    <s v="UPI PAYMENT/32445"/>
    <x v="0"/>
    <s v="Exact amount + date + transaction type"/>
    <n v="95"/>
    <x v="0"/>
    <s v="No"/>
    <s v="No duplicate candidate"/>
  </r>
  <r>
    <s v="5ccc1be2-fbfb-4f60-9a87-17ee0b25c621"/>
    <s v="LED100053"/>
    <d v="2023-09-03T00:00:00"/>
    <d v="2023-09-03T00:00:00"/>
    <n v="34"/>
    <n v="34"/>
    <n v="0"/>
    <n v="0"/>
    <s v="UPI/3612"/>
    <s v="UPI PAYMENT/3612"/>
    <x v="0"/>
    <s v="Exact amount + date + transaction type"/>
    <n v="95"/>
    <x v="0"/>
    <s v="No"/>
    <s v="No duplicate candidate"/>
  </r>
  <r>
    <s v="8a98421e-6026-4147-a99b-1335649ebb75"/>
    <s v="LED100054"/>
    <d v="2023-09-04T00:00:00"/>
    <d v="2023-09-04T00:00:00"/>
    <n v="460"/>
    <n v="460"/>
    <n v="0"/>
    <n v="0"/>
    <s v="UPI/32479"/>
    <s v="UPI PAYMENT/32479"/>
    <x v="0"/>
    <s v="Exact amount + date + transaction type"/>
    <n v="95"/>
    <x v="0"/>
    <s v="No"/>
    <s v="No duplicate candidate"/>
  </r>
  <r>
    <s v="b0bfec92-0fee-4c83-aa63-ec56255fa8ca"/>
    <s v="LED100055"/>
    <d v="2023-09-04T00:00:00"/>
    <d v="2023-09-04T00:00:00"/>
    <n v="200"/>
    <n v="200"/>
    <n v="0"/>
    <n v="0"/>
    <s v="UPI/3613"/>
    <s v="UPI PAYMENT/3613"/>
    <x v="0"/>
    <s v="Exact amount + date + transaction type"/>
    <n v="95"/>
    <x v="0"/>
    <s v="No"/>
    <s v="No duplicate candidate"/>
  </r>
  <r>
    <s v="7aab002f-a9d3-4600-840b-78a381e69fdd"/>
    <s v="LED100056"/>
    <d v="2023-09-04T00:00:00"/>
    <d v="2023-09-04T00:00:00"/>
    <n v="850"/>
    <n v="850"/>
    <n v="0"/>
    <n v="0"/>
    <s v="IMPS"/>
    <s v="IMPS PAYMENT"/>
    <x v="0"/>
    <s v="Exact amount + date + transaction type"/>
    <n v="95"/>
    <x v="0"/>
    <s v="No"/>
    <s v="No duplicate candidate"/>
  </r>
  <r>
    <s v="e6e88a6e-1bbf-4d10-8efc-7c38d81db891"/>
    <s v="LED100057"/>
    <d v="2023-09-05T00:00:00"/>
    <d v="2023-09-05T00:00:00"/>
    <n v="200"/>
    <n v="200"/>
    <n v="0"/>
    <n v="0"/>
    <s v="UPI/3248"/>
    <s v="UPI PAYMENT/3248"/>
    <x v="0"/>
    <s v="Exact amount + date + transaction type"/>
    <n v="95"/>
    <x v="0"/>
    <s v="No"/>
    <s v="No duplicate candidate"/>
  </r>
  <r>
    <s v="8efc053e-df71-45cc-a9ce-0cea8d9d166e"/>
    <s v="LED100058"/>
    <d v="2023-09-05T00:00:00"/>
    <d v="2023-09-05T00:00:00"/>
    <n v="1100"/>
    <n v="1100"/>
    <n v="0"/>
    <n v="0"/>
    <s v="IMPS"/>
    <s v="IMPS PAYMENT"/>
    <x v="0"/>
    <s v="Exact amount + date + transaction type"/>
    <n v="95"/>
    <x v="0"/>
    <s v="No"/>
    <s v="No duplicate candidate"/>
  </r>
  <r>
    <s v="26212eac-72f0-4da8-943d-9e94599b1168"/>
    <s v="LED100059"/>
    <d v="2023-09-06T00:00:00"/>
    <d v="2023-09-06T00:00:00"/>
    <n v="10"/>
    <n v="10"/>
    <n v="0"/>
    <n v="0"/>
    <s v="UPI/PAYTMPa"/>
    <s v="UPI PAYMENT/PAYTMPA"/>
    <x v="0"/>
    <s v="Exact amount + date + transaction type"/>
    <n v="95"/>
    <x v="0"/>
    <s v="No"/>
    <s v="No duplicate candidate"/>
  </r>
  <r>
    <s v="43423182-430e-4210-bf86-1093bde2c9a4"/>
    <s v="LED100060"/>
    <d v="2023-09-06T00:00:00"/>
    <d v="2023-09-06T00:00:00"/>
    <n v="15"/>
    <n v="15"/>
    <n v="0"/>
    <n v="0"/>
    <s v="UPI/JIOINAPPDIRECT/"/>
    <s v="UPI PAYMENT/JIOINAPPDIRECT/"/>
    <x v="0"/>
    <s v="Exact amount + date + transaction type"/>
    <n v="95"/>
    <x v="0"/>
    <s v="No"/>
    <s v="No duplicate candidate"/>
  </r>
  <r>
    <s v="e12cba6a-8238-4de8-af95-0afacd47ef30"/>
    <s v="LED100061"/>
    <d v="2023-09-08T00:00:00"/>
    <d v="2023-09-08T00:00:00"/>
    <n v="220"/>
    <n v="220"/>
    <n v="0"/>
    <n v="0"/>
    <s v="UPI/BHARATPE"/>
    <s v="UPI PAYMENT/BHARATPE"/>
    <x v="1"/>
    <s v="Amount + type match with description similarity 100%"/>
    <n v="85"/>
    <x v="1"/>
    <s v="Yes"/>
    <s v="Duplicate candidate detected"/>
  </r>
  <r>
    <s v="2d629427-5abd-4cfa-9729-ec2f575c9c3f"/>
    <s v="LED100062"/>
    <d v="2023-09-08T00:00:00"/>
    <d v="2023-09-08T00:00:00"/>
    <n v="500"/>
    <n v="500"/>
    <n v="0"/>
    <n v="0"/>
    <s v="UPI/BHARATPE"/>
    <s v="UPI PAYMENT/BHARATPE"/>
    <x v="0"/>
    <s v="Exact amount + date + transaction type"/>
    <n v="95"/>
    <x v="0"/>
    <s v="No"/>
    <s v="No duplicate candidate"/>
  </r>
  <r>
    <s v="976f05f5-b0b1-4525-a5bd-c57fd63b6302"/>
    <s v="LED100063"/>
    <d v="2023-09-08T00:00:00"/>
    <d v="2023-09-08T00:00:00"/>
    <n v="850"/>
    <n v="850"/>
    <n v="0"/>
    <n v="0"/>
    <s v="IMPS"/>
    <s v="IMPS PAYMENT"/>
    <x v="0"/>
    <s v="Exact amount + date + transaction type"/>
    <n v="95"/>
    <x v="0"/>
    <s v="No"/>
    <s v="No duplicate candidate"/>
  </r>
  <r>
    <s v="5792cc25-83fd-4513-a760-9d0e0be64897"/>
    <s v="LED100064"/>
    <d v="2023-09-09T00:00:00"/>
    <d v="2023-09-09T00:00:00"/>
    <n v="350"/>
    <n v="350"/>
    <n v="0"/>
    <n v="0"/>
    <s v="NEFT"/>
    <s v="NEFT PAYMENT"/>
    <x v="0"/>
    <s v="Exact reference + amount + date + type"/>
    <n v="100"/>
    <x v="0"/>
    <s v="No"/>
    <s v="No duplicate candidate"/>
  </r>
  <r>
    <s v="aa9e7078-1396-4bc4-b021-2801520dd0ae"/>
    <s v="LED100065"/>
    <d v="2023-09-09T00:00:00"/>
    <d v="2023-09-09T00:00:00"/>
    <n v="1"/>
    <n v="1"/>
    <n v="0"/>
    <n v="0"/>
    <s v="UPI/3252"/>
    <s v="UPI PAYMENT/3252"/>
    <x v="0"/>
    <s v="Exact amount + date + transaction type"/>
    <n v="95"/>
    <x v="0"/>
    <s v="No"/>
    <s v="No duplicate candidate"/>
  </r>
  <r>
    <s v="2256bb31-80eb-40ef-a8b3-b614aeef95ae"/>
    <s v="LED100066"/>
    <d v="2023-09-09T00:00:00"/>
    <d v="2023-09-11T00:00:00"/>
    <n v="499"/>
    <n v="499"/>
    <n v="0"/>
    <n v="2"/>
    <s v="UPI/3618"/>
    <s v="UPI PAYMENT/3618"/>
    <x v="3"/>
    <s v="Amount + type match, date difference 2 day(s), description similarity 100%"/>
    <n v="75"/>
    <x v="1"/>
    <s v="No"/>
    <s v="No duplicate candidate"/>
  </r>
  <r>
    <s v="9133c24e-a12b-453c-b398-890e035a50b6"/>
    <s v="LED100067"/>
    <d v="2023-09-09T00:00:00"/>
    <d v="2023-09-09T00:00:00"/>
    <n v="200"/>
    <n v="200"/>
    <n v="0"/>
    <n v="0"/>
    <s v="IMPS"/>
    <s v="IMPS PAYMENT"/>
    <x v="0"/>
    <s v="Exact amount + date + transaction type"/>
    <n v="95"/>
    <x v="0"/>
    <s v="No"/>
    <s v="No duplicate candidate"/>
  </r>
  <r>
    <s v="320083ed-ac9d-445f-95ab-665823b66121"/>
    <s v="LED100068"/>
    <d v="2023-09-11T00:00:00"/>
    <d v="2023-09-11T00:00:00"/>
    <n v="10"/>
    <n v="10"/>
    <n v="0"/>
    <n v="0"/>
    <s v="UPI/3620"/>
    <s v="UPI PAYMENT/3620"/>
    <x v="0"/>
    <s v="Exact amount + date + transaction type"/>
    <n v="95"/>
    <x v="0"/>
    <s v="No"/>
    <s v="No duplicate candidate"/>
  </r>
  <r>
    <s v="b03f18f8-dbdb-4a9e-9999-f615aaa23a4b"/>
    <s v="LED100069"/>
    <d v="2023-09-12T00:00:00"/>
    <d v="2023-09-12T00:00:00"/>
    <n v="180"/>
    <n v="180"/>
    <n v="0"/>
    <n v="0"/>
    <s v="NEFT"/>
    <s v="NEFT PAYMENT"/>
    <x v="0"/>
    <s v="Exact reference + amount + date + type"/>
    <n v="100"/>
    <x v="0"/>
    <s v="No"/>
    <s v="No duplicate candidate"/>
  </r>
  <r>
    <s v="31a91be1-0573-4fbe-b399-7ae1d0e177da"/>
    <s v="LED100070"/>
    <d v="2023-09-12T00:00:00"/>
    <d v="2023-09-12T00:00:00"/>
    <n v="60"/>
    <n v="60"/>
    <n v="0"/>
    <n v="0"/>
    <s v="GAS FILLING STATION"/>
    <s v="GAS FILLING STATION"/>
    <x v="0"/>
    <s v="Exact amount + date + transaction type"/>
    <n v="95"/>
    <x v="0"/>
    <s v="No"/>
    <s v="No duplicate candidate"/>
  </r>
  <r>
    <s v="c60fc4d6-f73d-4855-a843-69156836af12"/>
    <s v="LED100071"/>
    <d v="2023-09-12T00:00:00"/>
    <d v="2023-09-12T00:00:00"/>
    <n v="10"/>
    <n v="10"/>
    <n v="0"/>
    <n v="0"/>
    <s v="UPI/36211"/>
    <s v="UPI PAYMENT/36211"/>
    <x v="0"/>
    <s v="Exact amount + date + transaction type"/>
    <n v="95"/>
    <x v="0"/>
    <s v="No"/>
    <s v="No duplicate candidate"/>
  </r>
  <r>
    <s v="8d3e0628-618e-499c-8c59-616a95f426d1"/>
    <s v="LED100072"/>
    <d v="2023-09-12T00:00:00"/>
    <d v="2023-09-12T00:00:00"/>
    <n v="20"/>
    <n v="20"/>
    <n v="0"/>
    <n v="0"/>
    <s v="UPI/PAYTM"/>
    <s v="UPI PAYMENT/PAYTM"/>
    <x v="0"/>
    <s v="Exact amount + date + transaction type"/>
    <n v="95"/>
    <x v="0"/>
    <s v="No"/>
    <s v="No duplicate candidate"/>
  </r>
  <r>
    <s v="eab45d40-7e21-4933-b007-9170e9e35109"/>
    <s v="LED100073"/>
    <d v="2023-09-13T00:00:00"/>
    <d v="2023-09-13T00:00:00"/>
    <n v="350"/>
    <n v="350"/>
    <n v="0"/>
    <n v="0"/>
    <s v="NEFT"/>
    <s v="NEFT PAYMENT"/>
    <x v="0"/>
    <s v="Exact reference + amount + date + type"/>
    <n v="100"/>
    <x v="0"/>
    <s v="No"/>
    <s v="No duplicate candidate"/>
  </r>
  <r>
    <s v="90d21217-2010-422c-80fc-2806ea02407b"/>
    <s v="LED100074"/>
    <d v="2023-09-13T00:00:00"/>
    <d v="2023-09-13T00:00:00"/>
    <n v="3000"/>
    <n v="3000"/>
    <n v="0"/>
    <n v="0"/>
    <s v="UPI/36222"/>
    <s v="UPI PAYMENT/36222"/>
    <x v="0"/>
    <s v="Exact amount + date + transaction type"/>
    <n v="95"/>
    <x v="0"/>
    <s v="No"/>
    <s v="No duplicate candidate"/>
  </r>
  <r>
    <s v="75571385-d68d-4bc4-aae6-3a2e4d84d1e5"/>
    <s v="LED100075"/>
    <d v="2023-09-13T00:00:00"/>
    <d v="2023-09-13T00:00:00"/>
    <n v="400"/>
    <n v="400"/>
    <n v="0"/>
    <n v="0"/>
    <s v="IMPS"/>
    <s v="IMPS PAYMENT"/>
    <x v="0"/>
    <s v="Exact amount + date + transaction type"/>
    <n v="95"/>
    <x v="0"/>
    <s v="No"/>
    <s v="No duplicate candidate"/>
  </r>
  <r>
    <s v="01e0f3d1-366b-4344-bf11-f37c0cae061b"/>
    <s v="LED100076"/>
    <d v="2023-09-14T00:00:00"/>
    <d v="2023-09-15T00:00:00"/>
    <n v="140"/>
    <n v="140"/>
    <n v="0"/>
    <n v="1"/>
    <s v="UPI/32578"/>
    <s v="UPI PAYMENT/32578"/>
    <x v="3"/>
    <s v="Amount + type match, date difference 1 day(s), description similarity 100%"/>
    <n v="80"/>
    <x v="1"/>
    <s v="No"/>
    <s v="No duplicate candidate"/>
  </r>
  <r>
    <s v="3f7d6337-5760-42e8-9650-82b7e4e6f25b"/>
    <s v="LED100077"/>
    <d v="2023-09-14T00:00:00"/>
    <d v="2023-09-14T00:00:00"/>
    <n v="120"/>
    <n v="120"/>
    <n v="0"/>
    <n v="0"/>
    <s v="UPI/32571"/>
    <s v="UPI PAYMENT/32571"/>
    <x v="0"/>
    <s v="Exact amount + date + transaction type"/>
    <n v="95"/>
    <x v="0"/>
    <s v="No"/>
    <s v="No duplicate candidate"/>
  </r>
  <r>
    <s v="7fa3f516-0a76-4a58-b66a-6e1297567084"/>
    <s v="LED100078"/>
    <d v="2023-09-14T00:00:00"/>
    <d v="2023-09-14T00:00:00"/>
    <n v="670"/>
    <n v="670"/>
    <n v="0"/>
    <n v="0"/>
    <s v="IMPS"/>
    <s v="IMPS PAYMENT"/>
    <x v="0"/>
    <s v="Exact amount + date + transaction type"/>
    <n v="95"/>
    <x v="0"/>
    <s v="No"/>
    <s v="No duplicate candidate"/>
  </r>
  <r>
    <s v="9e361023-1600-47b8-929b-fd49f7d7bf22"/>
    <s v="LED100079"/>
    <d v="2023-09-14T00:00:00"/>
    <d v="2023-09-14T00:00:00"/>
    <n v="5500"/>
    <n v="5500"/>
    <n v="0"/>
    <n v="0"/>
    <s v="IMPS"/>
    <s v="IMPS PAYMENT"/>
    <x v="0"/>
    <s v="Exact amount + date + transaction type"/>
    <n v="95"/>
    <x v="0"/>
    <s v="No"/>
    <s v="No duplicate candidate"/>
  </r>
  <r>
    <s v="c61166ba-7899-4754-b839-36bbcf99df14"/>
    <s v="LED100080"/>
    <d v="2023-09-14T00:00:00"/>
    <d v="2023-09-14T00:00:00"/>
    <n v="50"/>
    <n v="52.5"/>
    <n v="2.5"/>
    <n v="0"/>
    <s v="UPI/32576"/>
    <s v="UPI PAYMENT/32576"/>
    <x v="4"/>
    <s v="Description similarity 100% but amount differs by ₹2.50"/>
    <n v="80"/>
    <x v="1"/>
    <s v="No"/>
    <s v="No duplicate candidate"/>
  </r>
  <r>
    <s v="9348033e-2c15-48d5-9d47-1e15b83a512a"/>
    <s v="LED100081"/>
    <d v="2023-09-15T00:00:00"/>
    <d v="2023-09-15T00:00:00"/>
    <n v="580"/>
    <n v="580"/>
    <n v="0"/>
    <n v="0"/>
    <s v="IMPS"/>
    <s v="IMPS PAYMENT"/>
    <x v="0"/>
    <s v="Exact amount + date + transaction type"/>
    <n v="95"/>
    <x v="0"/>
    <s v="No"/>
    <s v="No duplicate candidate"/>
  </r>
  <r>
    <s v="226c7c1a-4046-463e-92ea-6f6c8b600273"/>
    <s v="LED100082"/>
    <d v="2023-09-15T00:00:00"/>
    <d v="2023-09-15T00:00:00"/>
    <n v="40"/>
    <n v="40"/>
    <n v="0"/>
    <n v="0"/>
    <s v="UPI/32581"/>
    <s v="UPI PAYMENT/32581"/>
    <x v="0"/>
    <s v="Exact amount + date + transaction type"/>
    <n v="95"/>
    <x v="0"/>
    <s v="No"/>
    <s v="No duplicate candidate"/>
  </r>
  <r>
    <s v="f8e21723-b480-4813-a062-12bd1ddf6c9d"/>
    <s v="LED100083"/>
    <d v="2023-09-15T00:00:00"/>
    <d v="2023-09-15T00:00:00"/>
    <n v="400"/>
    <n v="400"/>
    <n v="0"/>
    <n v="0"/>
    <s v="IMPS"/>
    <s v="IMPS PAYMENT"/>
    <x v="0"/>
    <s v="Exact amount + date + transaction type"/>
    <n v="95"/>
    <x v="0"/>
    <s v="No"/>
    <s v="No duplicate candidate"/>
  </r>
  <r>
    <s v="1b3eda6c-a8f4-485a-8824-76b4eda8bf75"/>
    <s v="LED100084"/>
    <d v="2023-09-16T00:00:00"/>
    <d v="2023-09-16T00:00:00"/>
    <n v="120"/>
    <n v="120"/>
    <n v="0"/>
    <n v="0"/>
    <s v="UPI/BHARATPE"/>
    <s v="UPI PAYMENT/BHARATPE"/>
    <x v="0"/>
    <s v="Exact amount + date + transaction type"/>
    <n v="95"/>
    <x v="0"/>
    <s v="No"/>
    <s v="No duplicate candidate"/>
  </r>
  <r>
    <s v="6288f745-bfc9-49c9-9144-8f763cbc7303"/>
    <s v="LED100085"/>
    <d v="2023-09-16T00:00:00"/>
    <d v="2023-09-16T00:00:00"/>
    <n v="110"/>
    <n v="110"/>
    <n v="0"/>
    <n v="0"/>
    <s v="UPI/36250"/>
    <s v="UPI PAYMENT/36250"/>
    <x v="0"/>
    <s v="Exact amount + date + transaction type"/>
    <n v="95"/>
    <x v="0"/>
    <s v="No"/>
    <s v="No duplicate candidate"/>
  </r>
  <r>
    <s v="228d0c69-549c-4b66-bda9-26a88fa16cdb"/>
    <s v="LED100086"/>
    <d v="2023-09-17T00:00:00"/>
    <d v="2023-09-17T00:00:00"/>
    <n v="50"/>
    <n v="50"/>
    <n v="0"/>
    <n v="0"/>
    <s v="UPI/3626"/>
    <s v="UPI PAYMENT/3626"/>
    <x v="0"/>
    <s v="Exact amount + date + transaction type"/>
    <n v="95"/>
    <x v="0"/>
    <s v="No"/>
    <s v="No duplicate candidate"/>
  </r>
  <r>
    <s v="6cf8961e-f2dc-471d-8c7f-a12d443be002"/>
    <s v="LED100087"/>
    <d v="2023-09-17T00:00:00"/>
    <d v="2023-09-17T00:00:00"/>
    <n v="19"/>
    <n v="19"/>
    <n v="0"/>
    <n v="0"/>
    <s v="UPI/JIOINAPPDIRECT"/>
    <s v="UPI PAYMENT/JIOINAPPDIRECT"/>
    <x v="0"/>
    <s v="Exact amount + date + transaction type"/>
    <n v="95"/>
    <x v="0"/>
    <s v="No"/>
    <s v="No duplicate candidate"/>
  </r>
  <r>
    <s v="80da729f-1f76-41be-a745-097cac244ef9"/>
    <s v="LED100088"/>
    <d v="2023-09-17T00:00:00"/>
    <d v="2023-09-17T00:00:00"/>
    <n v="10"/>
    <n v="10"/>
    <n v="0"/>
    <n v="0"/>
    <s v="UPI/PAYTM101"/>
    <s v="UPI PAYMENT/PAYTM101"/>
    <x v="1"/>
    <s v="Amount + type match with description similarity 100%"/>
    <n v="85"/>
    <x v="1"/>
    <s v="Yes"/>
    <s v="Duplicate candidate detected"/>
  </r>
  <r>
    <s v="ca275aff-4c7c-415b-9f18-962dc7a2df69"/>
    <s v="LED100089"/>
    <d v="2023-09-18T00:00:00"/>
    <d v="2023-09-18T00:00:00"/>
    <n v="241"/>
    <n v="241"/>
    <n v="0"/>
    <n v="0"/>
    <s v="UPI/JIOINAPPDIRECT"/>
    <s v="UPI PAYMENT/JIOINAPPDIRECT"/>
    <x v="0"/>
    <s v="Exact amount + date + transaction type"/>
    <n v="95"/>
    <x v="0"/>
    <s v="No"/>
    <s v="No duplicate candidate"/>
  </r>
  <r>
    <s v="e6f497b6-446b-4f2b-8163-987ef32aae05"/>
    <s v="LED100090"/>
    <d v="2023-09-18T00:00:00"/>
    <d v="2023-09-18T00:00:00"/>
    <n v="450"/>
    <n v="450"/>
    <n v="0"/>
    <n v="0"/>
    <s v="IMPS"/>
    <s v="IMPS PAYMENT"/>
    <x v="0"/>
    <s v="Exact amount + date + transaction type"/>
    <n v="95"/>
    <x v="0"/>
    <s v="No"/>
    <s v="No duplicate candidate"/>
  </r>
  <r>
    <s v="156b0720-ad19-4d54-a8da-446c44c447df"/>
    <s v="LED100091"/>
    <d v="2023-09-20T00:00:00"/>
    <d v="2023-09-20T00:00:00"/>
    <n v="60"/>
    <n v="60"/>
    <n v="0"/>
    <n v="0"/>
    <s v="UPI/36298/"/>
    <s v="UPI PAYMENT/36298/"/>
    <x v="0"/>
    <s v="Exact amount + date + transaction type"/>
    <n v="95"/>
    <x v="0"/>
    <s v="No"/>
    <s v="No duplicate candidate"/>
  </r>
  <r>
    <s v="4ac8f887-a601-4f56-be2b-5cc1ca6c6965"/>
    <s v="LED100092"/>
    <d v="2023-09-20T00:00:00"/>
    <d v="2023-09-20T00:00:00"/>
    <n v="19"/>
    <n v="19"/>
    <n v="0"/>
    <n v="0"/>
    <s v="UPI/JIOINAPPDIRECT"/>
    <s v="UPI PAYMENT/JIOINAPPDIRECT"/>
    <x v="0"/>
    <s v="Exact amount + date + transaction type"/>
    <n v="95"/>
    <x v="0"/>
    <s v="No"/>
    <s v="No duplicate candidate"/>
  </r>
  <r>
    <s v="de00042e-b507-489e-8862-6efbf98e619c"/>
    <s v="LED100093"/>
    <d v="2023-09-20T00:00:00"/>
    <d v="2023-09-20T00:00:00"/>
    <n v="50"/>
    <n v="50"/>
    <n v="0"/>
    <n v="0"/>
    <s v="UPI/BHARATPE6"/>
    <s v="UPI PAYMENT/BHARATPE6"/>
    <x v="0"/>
    <s v="Exact amount + date + transaction type"/>
    <n v="95"/>
    <x v="0"/>
    <s v="No"/>
    <s v="No duplicate candidate"/>
  </r>
  <r>
    <s v="8da5dea7-f101-4ad0-b139-414837511c68"/>
    <s v="LED100094"/>
    <d v="2023-09-21T00:00:00"/>
    <d v="2023-09-21T00:00:00"/>
    <n v="1550"/>
    <n v="1550"/>
    <n v="0"/>
    <n v="0"/>
    <s v="NEFT"/>
    <s v="NEFT PAYMENT"/>
    <x v="0"/>
    <s v="Exact reference + amount + date + type"/>
    <n v="100"/>
    <x v="0"/>
    <s v="No"/>
    <s v="No duplicate candidate"/>
  </r>
  <r>
    <s v="dedecd53-f40c-4124-901b-0b400fc9758f"/>
    <s v="LED100095"/>
    <d v="2023-09-21T00:00:00"/>
    <d v="2023-09-21T00:00:00"/>
    <n v="3500"/>
    <n v="3500"/>
    <n v="0"/>
    <n v="0"/>
    <s v="UPI/3630"/>
    <s v="UPI PAYMENT/3630"/>
    <x v="0"/>
    <s v="Exact amount + date + transaction type"/>
    <n v="95"/>
    <x v="0"/>
    <s v="No"/>
    <s v="No duplicate candidate"/>
  </r>
  <r>
    <s v="97619cf6-f40f-4c05-9766-48c2a2860ee4"/>
    <s v="LED100096"/>
    <d v="2023-09-21T00:00:00"/>
    <d v="2023-09-21T00:00:00"/>
    <n v="1"/>
    <n v="1"/>
    <n v="0"/>
    <n v="0"/>
    <s v="UPI/3264"/>
    <s v="UPI PAYMENT/3264"/>
    <x v="0"/>
    <s v="Exact amount + date + transaction type"/>
    <n v="95"/>
    <x v="0"/>
    <s v="No"/>
    <s v="No duplicate candidate"/>
  </r>
  <r>
    <s v="6d0349bd-1c9d-4717-9fe6-db9372baa936"/>
    <s v="LED100097"/>
    <d v="2023-09-21T00:00:00"/>
    <d v="2023-09-21T00:00:00"/>
    <n v="2500"/>
    <n v="2500"/>
    <n v="0"/>
    <n v="0"/>
    <s v="UPI/3264"/>
    <s v="UPI PAYMENT/3264"/>
    <x v="0"/>
    <s v="Exact amount + date + transaction type"/>
    <n v="95"/>
    <x v="0"/>
    <s v="No"/>
    <s v="No duplicate candidate"/>
  </r>
  <r>
    <s v="b6ff1b3f-979c-4fdd-8f5a-bbb1df4be12d"/>
    <s v="LED100098"/>
    <d v="2023-09-22T00:00:00"/>
    <d v="2023-09-22T00:00:00"/>
    <n v="50"/>
    <n v="50"/>
    <n v="0"/>
    <n v="0"/>
    <s v="UPI/32655"/>
    <s v="UPI PAYMENT/32655"/>
    <x v="0"/>
    <s v="Exact amount + date + transaction type"/>
    <n v="95"/>
    <x v="0"/>
    <s v="No"/>
    <s v="No duplicate candidate"/>
  </r>
  <r>
    <s v="f51d2d6c-6fd9-4e14-b0e3-b73a0bbcb5cd"/>
    <s v="LED100099"/>
    <d v="2023-09-22T00:00:00"/>
    <d v="2023-09-22T00:00:00"/>
    <n v="1530"/>
    <n v="1530"/>
    <n v="0"/>
    <n v="0"/>
    <s v="UPI/36311"/>
    <s v="UPI PAYMENT/36311"/>
    <x v="0"/>
    <s v="Exact amount + date + transaction type"/>
    <n v="95"/>
    <x v="0"/>
    <s v="No"/>
    <s v="No duplicate candidate"/>
  </r>
  <r>
    <s v="3df016c3-4a26-4786-94de-8eb634982994"/>
    <s v="LED100100"/>
    <d v="2023-09-22T00:00:00"/>
    <d v="2023-09-22T00:00:00"/>
    <n v="2940"/>
    <n v="2940"/>
    <n v="0"/>
    <n v="0"/>
    <s v="UPI/32659"/>
    <s v="UPI PAYMENT/32659"/>
    <x v="0"/>
    <s v="Exact amount + date + transaction type"/>
    <n v="95"/>
    <x v="0"/>
    <s v="No"/>
    <s v="No duplicate candidate"/>
  </r>
  <r>
    <s v="5230c540-d846-4481-af4b-259a9b4d26af"/>
    <s v="LED100101"/>
    <d v="2023-09-22T00:00:00"/>
    <d v="2023-09-22T00:00:00"/>
    <n v="500"/>
    <n v="500"/>
    <n v="0"/>
    <n v="0"/>
    <s v="UPI/32654"/>
    <s v="UPI PAYMENT/32654"/>
    <x v="0"/>
    <s v="Exact amount + date + transaction type"/>
    <n v="95"/>
    <x v="0"/>
    <s v="No"/>
    <s v="No duplicate candidate"/>
  </r>
  <r>
    <s v="ee1b82e0-c0ef-4b0b-8890-2c9a0e5f72e9"/>
    <s v="LED100102"/>
    <d v="2023-09-22T00:00:00"/>
    <d v="2023-09-22T00:00:00"/>
    <n v="400"/>
    <n v="400"/>
    <n v="0"/>
    <n v="0"/>
    <s v="UPI/BHARATPE"/>
    <s v="UPI PAYMENT/BHARATPE"/>
    <x v="0"/>
    <s v="Exact amount + date + transaction type"/>
    <n v="95"/>
    <x v="0"/>
    <s v="No"/>
    <s v="No duplicate candidate"/>
  </r>
  <r>
    <s v="8eaa3e76-c910-47ef-9378-46e8ef464a35"/>
    <s v="LED100103"/>
    <d v="2023-09-22T00:00:00"/>
    <d v="2023-09-22T00:00:00"/>
    <n v="140"/>
    <n v="140"/>
    <n v="0"/>
    <n v="0"/>
    <s v="UPI/PAYTM"/>
    <s v="UPI PAYMENT/PAYTM"/>
    <x v="0"/>
    <s v="Exact amount + date + transaction type"/>
    <n v="95"/>
    <x v="0"/>
    <s v="No"/>
    <s v="No duplicate candidate"/>
  </r>
  <r>
    <s v="2e857865-defd-4882-9637-148669d40b3e"/>
    <s v="LED100104"/>
    <d v="2023-09-22T00:00:00"/>
    <d v="2023-09-22T00:00:00"/>
    <n v="40"/>
    <n v="40"/>
    <n v="0"/>
    <n v="0"/>
    <s v="UPI/36318"/>
    <s v="UPI PAYMENT/36318"/>
    <x v="0"/>
    <s v="Exact amount + date + transaction type"/>
    <n v="95"/>
    <x v="0"/>
    <s v="No"/>
    <s v="No duplicate candidate"/>
  </r>
  <r>
    <s v="3ee3466b-ac57-4f9f-956b-a35f5d55e4b4"/>
    <s v="LED100105"/>
    <d v="2023-09-23T00:00:00"/>
    <d v="2023-09-23T00:00:00"/>
    <n v="1280"/>
    <n v="1280"/>
    <n v="0"/>
    <n v="0"/>
    <s v="NEFT"/>
    <s v="NEFT PAYMENT"/>
    <x v="0"/>
    <s v="Exact reference + amount + date + type"/>
    <n v="100"/>
    <x v="0"/>
    <s v="No"/>
    <s v="No duplicate candidate"/>
  </r>
  <r>
    <s v="71348f87-281d-4dac-815e-7c749f39106b"/>
    <s v="LED100106"/>
    <d v="2023-09-23T00:00:00"/>
    <d v="2023-09-23T00:00:00"/>
    <n v="20"/>
    <n v="20"/>
    <n v="0"/>
    <n v="0"/>
    <s v="UPI/GPAY"/>
    <s v="UPI PAYMENT/GPAY"/>
    <x v="0"/>
    <s v="Exact amount + date + transaction type"/>
    <n v="95"/>
    <x v="0"/>
    <s v="No"/>
    <s v="No duplicate candidate"/>
  </r>
  <r>
    <s v="0f13a626-bb42-4663-9043-403951ed5cbb"/>
    <s v="LED100107"/>
    <d v="2023-09-23T00:00:00"/>
    <d v="2023-09-23T00:00:00"/>
    <n v="40"/>
    <n v="40"/>
    <n v="0"/>
    <n v="0"/>
    <s v="UPI/PAYTM101"/>
    <s v="UPI PAYMENT/PAYTM101"/>
    <x v="0"/>
    <s v="Exact amount + date + transaction type"/>
    <n v="95"/>
    <x v="0"/>
    <s v="No"/>
    <s v="No duplicate candidate"/>
  </r>
  <r>
    <s v="74c43a11-f14e-4c0b-9a12-6ff003603c9d"/>
    <s v="LED100108"/>
    <d v="2023-09-23T00:00:00"/>
    <d v="2023-09-23T00:00:00"/>
    <n v="17"/>
    <n v="17"/>
    <n v="0"/>
    <n v="0"/>
    <s v="UPI/BHARATPE"/>
    <s v="UPI PAYMENT/BHARATPE"/>
    <x v="0"/>
    <s v="Exact amount + date + transaction type"/>
    <n v="95"/>
    <x v="0"/>
    <s v="No"/>
    <s v="No duplicate candidate"/>
  </r>
  <r>
    <s v="3260756f-954a-47b3-b46f-2c338f7f8b0a"/>
    <s v="LED100109"/>
    <d v="2023-09-23T00:00:00"/>
    <d v="2023-09-23T00:00:00"/>
    <n v="50"/>
    <n v="50"/>
    <n v="0"/>
    <n v="0"/>
    <s v="UPI/GPAY"/>
    <s v="UPI PAYMENT/GPAY"/>
    <x v="0"/>
    <s v="Exact amount + date + transaction type"/>
    <n v="95"/>
    <x v="0"/>
    <s v="No"/>
    <s v="No duplicate candidate"/>
  </r>
  <r>
    <s v="7d0dd7c6-8a00-4436-9823-009cd57b4d0e"/>
    <s v="LED100110"/>
    <d v="2023-09-24T00:00:00"/>
    <d v="2023-09-24T00:00:00"/>
    <n v="110"/>
    <n v="110"/>
    <n v="0"/>
    <n v="0"/>
    <s v="UPI/PAYTM101"/>
    <s v="UPI PAYMENT/PAYTM101"/>
    <x v="0"/>
    <s v="Exact amount + date + transaction type"/>
    <n v="95"/>
    <x v="0"/>
    <s v="No"/>
    <s v="No duplicate candidate"/>
  </r>
  <r>
    <s v="802bb8ed-6cbd-4e2e-be90-09aef4da6794"/>
    <s v="LED100111"/>
    <d v="2023-09-25T00:00:00"/>
    <d v="2023-09-25T00:00:00"/>
    <n v="1100"/>
    <n v="1100"/>
    <n v="0"/>
    <n v="0"/>
    <s v="NEFT"/>
    <s v="NEFT PAYMENT"/>
    <x v="0"/>
    <s v="Exact reference + amount + date + type"/>
    <n v="100"/>
    <x v="0"/>
    <s v="No"/>
    <s v="No duplicate candidate"/>
  </r>
  <r>
    <s v="9125f055-f355-4d8d-9ac6-d9bb065ee25a"/>
    <s v="LED100112"/>
    <d v="2023-09-25T00:00:00"/>
    <d v="2023-09-25T00:00:00"/>
    <n v="20"/>
    <n v="20"/>
    <n v="0"/>
    <n v="0"/>
    <s v="UPI/3268"/>
    <s v="UPI PAYMENT/3268"/>
    <x v="0"/>
    <s v="Exact amount + date + transaction type"/>
    <n v="95"/>
    <x v="0"/>
    <s v="No"/>
    <s v="No duplicate candidate"/>
  </r>
  <r>
    <s v="90c6e54f-6249-426a-9423-598892687d55"/>
    <s v="LED100113"/>
    <d v="2023-09-25T00:00:00"/>
    <d v="2023-09-25T00:00:00"/>
    <n v="20"/>
    <n v="20"/>
    <n v="0"/>
    <n v="0"/>
    <s v="UPI/PAYTMep"/>
    <s v="UPI PAYMENT/PAYTMEP"/>
    <x v="0"/>
    <s v="Exact amount + date + transaction type"/>
    <n v="95"/>
    <x v="0"/>
    <s v="No"/>
    <s v="No duplicate candidate"/>
  </r>
  <r>
    <s v="f26df49f-0847-4da1-a06a-1f52e3b4fa9b"/>
    <s v="LED100114"/>
    <d v="2023-09-25T00:00:00"/>
    <d v="2023-09-25T00:00:00"/>
    <n v="40"/>
    <n v="40"/>
    <n v="0"/>
    <n v="0"/>
    <s v="UPI/36341"/>
    <s v="UPI PAYMENT/36341"/>
    <x v="0"/>
    <s v="Exact amount + date + transaction type"/>
    <n v="95"/>
    <x v="0"/>
    <s v="No"/>
    <s v="No duplicate candidate"/>
  </r>
  <r>
    <s v="8339b673-56e9-4517-aaf7-804da58d7ec4"/>
    <s v="LED100115"/>
    <d v="2023-09-26T00:00:00"/>
    <d v="2023-09-26T00:00:00"/>
    <n v="1"/>
    <n v="1"/>
    <n v="0"/>
    <n v="0"/>
    <s v="UPI/32691"/>
    <s v="UPI PAYMENT/32691"/>
    <x v="0"/>
    <s v="Exact amount + date + transaction type"/>
    <n v="95"/>
    <x v="0"/>
    <s v="No"/>
    <s v="No duplicate candidate"/>
  </r>
  <r>
    <s v="6834106a-a1db-421a-a030-05b47ec0b49e"/>
    <s v="LED100116"/>
    <d v="2023-09-26T00:00:00"/>
    <d v="2023-09-26T00:00:00"/>
    <n v="3000"/>
    <n v="3000"/>
    <n v="0"/>
    <n v="0"/>
    <s v="UPI/36352"/>
    <s v="UPI PAYMENT/36352"/>
    <x v="0"/>
    <s v="Exact amount + date + transaction type"/>
    <n v="95"/>
    <x v="0"/>
    <s v="No"/>
    <s v="No duplicate candidate"/>
  </r>
  <r>
    <s v="e4c9bdfc-0a18-4bc2-887b-f5d6449b7884"/>
    <s v="LED100117"/>
    <d v="2023-09-26T00:00:00"/>
    <d v="2023-09-26T00:00:00"/>
    <n v="1000"/>
    <n v="1000"/>
    <n v="0"/>
    <n v="0"/>
    <s v="UPI/36351"/>
    <s v="UPI PAYMENT/36351"/>
    <x v="0"/>
    <s v="Exact amount + date + transaction type"/>
    <n v="95"/>
    <x v="0"/>
    <s v="No"/>
    <s v="No duplicate candidate"/>
  </r>
  <r>
    <s v="380b58dc-3d3c-45b9-8acd-2b6f6822a954"/>
    <s v="LED100118"/>
    <d v="2023-09-26T00:00:00"/>
    <d v="2023-09-26T00:00:00"/>
    <n v="400"/>
    <n v="400"/>
    <n v="0"/>
    <n v="0"/>
    <s v="UPI/32695"/>
    <s v="UPI PAYMENT/32695"/>
    <x v="0"/>
    <s v="Exact amount + date + transaction type"/>
    <n v="95"/>
    <x v="0"/>
    <s v="No"/>
    <s v="No duplicate candidate"/>
  </r>
  <r>
    <s v="9209e2ff-aabe-4148-82c9-3cfbb07572a5"/>
    <s v="LED100119"/>
    <d v="2023-09-27T00:00:00"/>
    <d v="2023-09-27T00:00:00"/>
    <n v="30"/>
    <n v="30"/>
    <n v="0"/>
    <n v="0"/>
    <s v="UPI/PAYTM"/>
    <s v="UPI PAYMENT/PAYTM"/>
    <x v="0"/>
    <s v="Exact amount + date + transaction type"/>
    <n v="95"/>
    <x v="0"/>
    <s v="No"/>
    <s v="No duplicate candidate"/>
  </r>
  <r>
    <s v="c843b30d-cb22-42e1-8c58-05d59e9b6410"/>
    <s v="LED100120"/>
    <d v="2023-09-27T00:00:00"/>
    <d v="2023-09-27T00:00:00"/>
    <n v="200"/>
    <n v="196"/>
    <n v="-4"/>
    <n v="0"/>
    <s v="UPI/3270"/>
    <s v="UPI PAYMENT/3270"/>
    <x v="4"/>
    <s v="Description similarity 100% but amount differs by ₹4.00"/>
    <n v="80"/>
    <x v="1"/>
    <s v="No"/>
    <s v="No duplicate candidate"/>
  </r>
  <r>
    <s v="a7d31245-0cc9-446f-875f-efbed9a75bb1"/>
    <s v="LED100121"/>
    <d v="2023-09-27T00:00:00"/>
    <d v="2023-09-27T00:00:00"/>
    <n v="200"/>
    <n v="200"/>
    <n v="0"/>
    <n v="0"/>
    <s v="UPI/32709"/>
    <s v="UPI PAYMENT/32709"/>
    <x v="1"/>
    <s v="Amount + type match with description similarity 100%"/>
    <n v="85"/>
    <x v="1"/>
    <s v="No"/>
    <s v="No duplicate candidate"/>
  </r>
  <r>
    <s v="bbf7e57c-5c39-4c78-8faf-7a77a79fbebc"/>
    <s v="LED100122"/>
    <d v="2023-09-27T00:00:00"/>
    <d v="2023-09-27T00:00:00"/>
    <n v="200"/>
    <n v="200"/>
    <n v="0"/>
    <n v="0"/>
    <s v="UPI/32706"/>
    <s v="UPI PAYMENT/32706"/>
    <x v="0"/>
    <s v="Exact amount + date + transaction type"/>
    <n v="95"/>
    <x v="0"/>
    <s v="No"/>
    <s v="No duplicate candidate"/>
  </r>
  <r>
    <s v="a5f0be0a-122f-4b43-8333-14233b1d8c42"/>
    <s v="LED100123"/>
    <d v="2023-09-27T00:00:00"/>
    <d v="2023-09-27T00:00:00"/>
    <n v="400"/>
    <n v="400"/>
    <n v="0"/>
    <n v="0"/>
    <s v="NEFT"/>
    <s v="NEFT PAYMENT"/>
    <x v="0"/>
    <s v="Exact reference + amount + date + type"/>
    <n v="100"/>
    <x v="0"/>
    <s v="No"/>
    <s v="No duplicate candidate"/>
  </r>
  <r>
    <s v="756010f4-f8f3-4c81-81b9-62c25e8609e0"/>
    <s v="LED100124"/>
    <d v="2023-09-27T00:00:00"/>
    <d v="2023-09-27T00:00:00"/>
    <n v="100"/>
    <n v="100"/>
    <n v="0"/>
    <n v="0"/>
    <s v="UPI/36367"/>
    <s v="UPI PAYMENT/36367"/>
    <x v="0"/>
    <s v="Exact amount + date + transaction type"/>
    <n v="95"/>
    <x v="0"/>
    <s v="No"/>
    <s v="No duplicate candidate"/>
  </r>
  <r>
    <s v="b2ba5a7b-b5da-4563-831e-5cf406d85c8c"/>
    <s v="LED100125"/>
    <d v="2023-09-28T00:00:00"/>
    <d v="2023-09-28T00:00:00"/>
    <n v="1450"/>
    <n v="1450"/>
    <n v="0"/>
    <n v="0"/>
    <s v="NEFT"/>
    <s v="NEFT PAYMENT"/>
    <x v="0"/>
    <s v="Exact reference + amount + date + type"/>
    <n v="100"/>
    <x v="0"/>
    <s v="No"/>
    <s v="No duplicate candidate"/>
  </r>
  <r>
    <s v="4b0f59fa-655b-4e30-9b83-f9514cf9b240"/>
    <s v="LED100126"/>
    <d v="2023-09-28T00:00:00"/>
    <d v="2023-09-28T00:00:00"/>
    <n v="1280"/>
    <n v="1280"/>
    <n v="0"/>
    <n v="0"/>
    <s v="UPI/32712"/>
    <s v="UPI PAYMENT/32712"/>
    <x v="0"/>
    <s v="Exact amount + date + transaction type"/>
    <n v="95"/>
    <x v="0"/>
    <s v="No"/>
    <s v="No duplicate candidate"/>
  </r>
  <r>
    <s v="3a4ff688-bef4-4aaf-8f45-61d0168ffc75"/>
    <s v="LED100127"/>
    <d v="2023-09-28T00:00:00"/>
    <d v="2023-09-28T00:00:00"/>
    <n v="10"/>
    <n v="10"/>
    <n v="0"/>
    <n v="0"/>
    <s v="UPI/36370"/>
    <s v="UPI PAYMENT/36370"/>
    <x v="0"/>
    <s v="Exact amount + date + transaction type"/>
    <n v="95"/>
    <x v="0"/>
    <s v="No"/>
    <s v="No duplicate candidate"/>
  </r>
  <r>
    <s v="d8b45c85-45b2-4b13-9879-66a00fa7af65"/>
    <s v="LED100128"/>
    <d v="2023-09-29T00:00:00"/>
    <d v="2023-09-29T00:00:00"/>
    <n v="600"/>
    <n v="600"/>
    <n v="0"/>
    <n v="0"/>
    <s v="NEFT"/>
    <s v="NEFT PAYMENT"/>
    <x v="0"/>
    <s v="Exact reference + amount + date + type"/>
    <n v="100"/>
    <x v="0"/>
    <s v="No"/>
    <s v="No duplicate candidate"/>
  </r>
  <r>
    <s v="fa919e43-a6a1-4c55-9985-6f8b97d681eb"/>
    <s v="LED100129"/>
    <d v="2023-09-29T00:00:00"/>
    <d v="2023-09-29T00:00:00"/>
    <n v="500"/>
    <n v="500"/>
    <n v="0"/>
    <n v="0"/>
    <s v="UPI/36381"/>
    <s v="UPI PAYMENT/36381"/>
    <x v="0"/>
    <s v="Exact amount + date + transaction type"/>
    <n v="95"/>
    <x v="0"/>
    <s v="No"/>
    <s v="No duplicate candidate"/>
  </r>
  <r>
    <s v="a100ec2b-95e6-40f8-a021-20b36afe2715"/>
    <s v="LED100130"/>
    <d v="2023-09-30T00:00:00"/>
    <d v="2023-09-30T00:00:00"/>
    <n v="480"/>
    <n v="480"/>
    <n v="0"/>
    <n v="0"/>
    <s v="NEFT"/>
    <s v="NEFT PAYMENT"/>
    <x v="0"/>
    <s v="Exact reference + amount + date + type"/>
    <n v="100"/>
    <x v="0"/>
    <s v="No"/>
    <s v="No duplicate candidate"/>
  </r>
  <r>
    <s v="c9f6c8e9-e5b1-49e7-8f8b-442ebca30aaf"/>
    <s v="LED100131"/>
    <d v="2023-09-30T00:00:00"/>
    <d v="2023-09-30T00:00:00"/>
    <n v="150"/>
    <n v="150"/>
    <n v="0"/>
    <n v="0"/>
    <s v="UPI/PAYTM"/>
    <s v="UPI PAYMENT/PAYTM"/>
    <x v="0"/>
    <s v="Exact amount + date + transaction type"/>
    <n v="95"/>
    <x v="0"/>
    <s v="No"/>
    <s v="No duplicate candidate"/>
  </r>
  <r>
    <s v="623990ca-7390-404b-82fa-5f10316863d2"/>
    <s v="LED100132"/>
    <d v="2023-09-30T00:00:00"/>
    <d v="2023-09-30T00:00:00"/>
    <n v="35"/>
    <n v="35"/>
    <n v="0"/>
    <n v="0"/>
    <s v="UPI/PAYTMap"/>
    <s v="UPI PAYMENT/PAYTMAP"/>
    <x v="0"/>
    <s v="Exact amount + date + transaction type"/>
    <n v="95"/>
    <x v="0"/>
    <s v="No"/>
    <s v="No duplicate candidate"/>
  </r>
  <r>
    <s v="f8c83f63-6b3c-48b7-907e-1c7569881a5a"/>
    <s v="LED100133"/>
    <d v="2023-09-30T00:00:00"/>
    <d v="2023-09-30T00:00:00"/>
    <n v="130"/>
    <n v="130"/>
    <n v="0"/>
    <n v="0"/>
    <s v="UPI/32738"/>
    <s v="UPI PAYMENT/32738"/>
    <x v="0"/>
    <s v="Exact amount + date + transaction type"/>
    <n v="95"/>
    <x v="0"/>
    <s v="No"/>
    <s v="No duplicate candidate"/>
  </r>
  <r>
    <s v="3e3f3ee0-8eaf-456e-a475-f4aff84fd8a7"/>
    <s v="LED100134"/>
    <d v="2023-09-30T00:00:00"/>
    <d v="2023-09-30T00:00:00"/>
    <n v="50"/>
    <n v="50"/>
    <n v="0"/>
    <n v="0"/>
    <s v="UPI/BHARATPE"/>
    <s v="UPI PAYMENT/BHARATPE"/>
    <x v="0"/>
    <s v="Exact amount + date + transaction type"/>
    <n v="95"/>
    <x v="0"/>
    <s v="No"/>
    <s v="No duplicate candidate"/>
  </r>
  <r>
    <s v="9b3a0f22-6e89-4356-a5c5-f173fe76ff23"/>
    <s v="LED100135"/>
    <d v="2023-09-30T00:00:00"/>
    <d v="2023-09-30T00:00:00"/>
    <n v="10"/>
    <n v="10"/>
    <n v="0"/>
    <n v="0"/>
    <s v="AMZN"/>
    <s v="AMZN"/>
    <x v="0"/>
    <s v="Exact amount + date + transaction type"/>
    <n v="95"/>
    <x v="0"/>
    <s v="No"/>
    <s v="No duplicate candidate"/>
  </r>
  <r>
    <s v="248af984-503d-4ca8-bd8f-00ba044859e7"/>
    <s v="LED100136"/>
    <d v="2023-10-01T00:00:00"/>
    <d v="2023-10-01T00:00:00"/>
    <n v="700"/>
    <n v="700"/>
    <n v="0"/>
    <n v="0"/>
    <s v="NEFT"/>
    <s v="NEFT PAYMENT"/>
    <x v="0"/>
    <s v="Exact reference + amount + date + type"/>
    <n v="100"/>
    <x v="0"/>
    <s v="No"/>
    <s v="No duplicate candidate"/>
  </r>
  <r>
    <s v="ace38436-f415-45f8-bb95-3679ff3e0d43"/>
    <s v="LED100137"/>
    <d v="2023-10-01T00:00:00"/>
    <d v="2023-10-01T00:00:00"/>
    <n v="4550"/>
    <n v="4550"/>
    <n v="0"/>
    <n v="0"/>
    <s v="IMPS"/>
    <s v="IMPS PAYMENT"/>
    <x v="0"/>
    <s v="Exact amount + date + transaction type"/>
    <n v="95"/>
    <x v="0"/>
    <s v="No"/>
    <s v="No duplicate candidate"/>
  </r>
  <r>
    <s v="f820697b-3dd8-4e9b-88ed-27639dd662c3"/>
    <s v="LED100138"/>
    <d v="2023-10-01T00:00:00"/>
    <d v="2023-10-01T00:00:00"/>
    <n v="1"/>
    <n v="1"/>
    <n v="0"/>
    <n v="0"/>
    <s v="UPI/36406"/>
    <s v="UPI PAYMENT/36406"/>
    <x v="0"/>
    <s v="Exact amount + date + transaction type"/>
    <n v="95"/>
    <x v="0"/>
    <s v="No"/>
    <s v="No duplicate candidate"/>
  </r>
  <r>
    <s v="ddcc8fa1-81c0-4d4b-8f71-180352bf97aa"/>
    <s v="LED100139"/>
    <d v="2023-10-01T00:00:00"/>
    <d v="2023-10-01T00:00:00"/>
    <n v="4000"/>
    <n v="4000"/>
    <n v="0"/>
    <n v="0"/>
    <s v="UPI/36408"/>
    <s v="UPI PAYMENT/36408"/>
    <x v="0"/>
    <s v="Exact amount + date + transaction type"/>
    <n v="95"/>
    <x v="0"/>
    <s v="No"/>
    <s v="No duplicate candidate"/>
  </r>
  <r>
    <s v="e3d156cc-dfbf-471b-b50c-75477e85847b"/>
    <s v="LED100140"/>
    <d v="2023-10-01T00:00:00"/>
    <d v="2023-10-01T00:00:00"/>
    <n v="540"/>
    <n v="540"/>
    <n v="0"/>
    <n v="0"/>
    <s v="UPI/BHARATPE"/>
    <s v="UPI PAYMENT/BHARATPE"/>
    <x v="0"/>
    <s v="Exact amount + date + transaction type"/>
    <n v="95"/>
    <x v="0"/>
    <s v="No"/>
    <s v="No duplicate candidate"/>
  </r>
  <r>
    <s v="edf8c5a8-b2d0-442d-bc16-8d739075ddaf"/>
    <s v="LED100141"/>
    <d v="2023-10-01T00:00:00"/>
    <d v="2023-10-01T00:00:00"/>
    <n v="50"/>
    <n v="50"/>
    <n v="0"/>
    <n v="0"/>
    <s v="UPI/BHARATPE"/>
    <s v="UPI PAYMENT/BHARATPE"/>
    <x v="0"/>
    <s v="Exact amount + date + transaction type"/>
    <n v="95"/>
    <x v="0"/>
    <s v="No"/>
    <s v="No duplicate candidate"/>
  </r>
  <r>
    <s v="7b4353e3-877e-4ae0-8437-22bb587225b4"/>
    <s v="LED100142"/>
    <d v="2023-10-01T00:00:00"/>
    <d v="2023-10-01T00:00:00"/>
    <n v="540"/>
    <n v="540"/>
    <n v="0"/>
    <n v="0"/>
    <s v="IMPS"/>
    <s v="IMPS PAYMENT"/>
    <x v="0"/>
    <s v="Exact amount + date + transaction type"/>
    <n v="95"/>
    <x v="0"/>
    <s v="No"/>
    <s v="No duplicate candidate"/>
  </r>
  <r>
    <s v="5f109549-800e-46e7-9455-e0a9b4865360"/>
    <s v="LED100143"/>
    <d v="2023-10-02T00:00:00"/>
    <d v="2023-10-02T00:00:00"/>
    <n v="370"/>
    <n v="370"/>
    <n v="0"/>
    <n v="0"/>
    <s v="UPI/PAYTM9p"/>
    <s v="UPI PAYMENT/PAYTM9P"/>
    <x v="0"/>
    <s v="Exact amount + date + transaction type"/>
    <n v="95"/>
    <x v="0"/>
    <s v="No"/>
    <s v="No duplicate candidate"/>
  </r>
  <r>
    <s v="31668b32-0d2d-4dea-aa92-6b8c31ee848e"/>
    <s v="LED100144"/>
    <d v="2023-10-03T00:00:00"/>
    <d v="2023-10-03T00:00:00"/>
    <n v="19"/>
    <n v="19"/>
    <n v="0"/>
    <n v="0"/>
    <s v="UPI/JIOINAPPDIRECT"/>
    <s v="UPI PAYMENT/JIOINAPPDIRECT"/>
    <x v="0"/>
    <s v="Exact amount + date + transaction type"/>
    <n v="95"/>
    <x v="0"/>
    <s v="No"/>
    <s v="No duplicate candidate"/>
  </r>
  <r>
    <s v="3108c01e-39f6-4c2f-a283-86db7439f95c"/>
    <s v="LED100145"/>
    <d v="2023-10-03T00:00:00"/>
    <d v="2023-10-03T00:00:00"/>
    <n v="600"/>
    <n v="600"/>
    <n v="0"/>
    <n v="0"/>
    <s v="NEFT"/>
    <s v="NEFT PAYMENT"/>
    <x v="0"/>
    <s v="Exact reference + amount + date + type"/>
    <n v="100"/>
    <x v="0"/>
    <s v="No"/>
    <s v="No duplicate candidate"/>
  </r>
  <r>
    <s v="0fce7629-1e60-4e18-a1b7-a8ca75f7f2f4"/>
    <s v="LED100146"/>
    <d v="2023-10-03T00:00:00"/>
    <d v="2023-10-03T00:00:00"/>
    <n v="10"/>
    <n v="10"/>
    <n v="0"/>
    <n v="0"/>
    <s v="UPI/36421"/>
    <s v="UPI PAYMENT/36421"/>
    <x v="0"/>
    <s v="Exact amount + date + transaction type"/>
    <n v="95"/>
    <x v="0"/>
    <s v="No"/>
    <s v="No duplicate candidate"/>
  </r>
  <r>
    <s v="76615252-dfaf-4102-8f5d-75bc54d8387b"/>
    <s v="LED100147"/>
    <d v="2023-10-04T00:00:00"/>
    <d v="2023-10-04T00:00:00"/>
    <n v="250"/>
    <n v="250"/>
    <n v="0"/>
    <n v="0"/>
    <s v="NEFT"/>
    <s v="NEFT PAYMENT"/>
    <x v="0"/>
    <s v="Exact reference + amount + date + type"/>
    <n v="100"/>
    <x v="0"/>
    <s v="No"/>
    <s v="No duplicate candidate"/>
  </r>
  <r>
    <s v="51dcb4d5-7bad-400c-8a1b-8e6b8a8f24af"/>
    <s v="LED100148"/>
    <d v="2023-10-04T00:00:00"/>
    <d v="2023-10-04T00:00:00"/>
    <n v="40"/>
    <n v="40"/>
    <n v="0"/>
    <n v="0"/>
    <s v="UPI/32770"/>
    <s v="UPI PAYMENT/32770"/>
    <x v="0"/>
    <s v="Exact amount + date + transaction type"/>
    <n v="95"/>
    <x v="0"/>
    <s v="No"/>
    <s v="No duplicate candidate"/>
  </r>
  <r>
    <s v="c22fc6ad-c242-4538-91f2-53ca13770c6e"/>
    <s v="LED100149"/>
    <d v="2023-10-04T00:00:00"/>
    <d v="2023-10-04T00:00:00"/>
    <n v="10"/>
    <n v="10"/>
    <n v="0"/>
    <n v="0"/>
    <s v="UPI/32775"/>
    <s v="UPI PAYMENT/32775"/>
    <x v="0"/>
    <s v="Exact amount + date + transaction type"/>
    <n v="95"/>
    <x v="0"/>
    <s v="No"/>
    <s v="No duplicate candidate"/>
  </r>
  <r>
    <s v="9c02e93a-0999-41cc-95e4-279994bb3364"/>
    <s v="LED100150"/>
    <d v="2023-10-04T00:00:00"/>
    <d v="2023-10-04T00:00:00"/>
    <n v="30"/>
    <n v="30"/>
    <n v="0"/>
    <n v="0"/>
    <s v="UPI/36435"/>
    <s v="UPI PAYMENT/36435"/>
    <x v="0"/>
    <s v="Exact amount + date + transaction type"/>
    <n v="95"/>
    <x v="0"/>
    <s v="No"/>
    <s v="No duplicate candidate"/>
  </r>
  <r>
    <s v="033d5608-e2b1-4858-b98b-99f3f9cf83d6"/>
    <s v="LED100222"/>
    <d v="2023-10-05T00:00:00"/>
    <d v="2023-10-28T00:00:00"/>
    <n v="400"/>
    <n v="400"/>
    <n v="0"/>
    <n v="23"/>
    <s v="NEFT"/>
    <s v="NEFT PAYMENT"/>
    <x v="1"/>
    <s v="Same amount + high description similarity 100% but date differs by 23 days"/>
    <n v="60"/>
    <x v="2"/>
    <s v="No"/>
    <s v="No duplicate candidate"/>
  </r>
  <r>
    <s v="8d61b7b8-6b32-47b2-ada2-1636ab6b0f56"/>
    <s v="LED100152"/>
    <d v="2023-10-05T00:00:00"/>
    <d v="2023-10-05T00:00:00"/>
    <n v="200"/>
    <n v="200"/>
    <n v="0"/>
    <n v="0"/>
    <s v="UPI/32789"/>
    <s v="UPI PAYMENT/32789"/>
    <x v="0"/>
    <s v="Exact amount + date + transaction type"/>
    <n v="95"/>
    <x v="0"/>
    <s v="No"/>
    <s v="No duplicate candidate"/>
  </r>
  <r>
    <s v="6b92418c-590d-42fd-abc0-fb5156683c35"/>
    <s v="LED100153"/>
    <d v="2023-10-05T00:00:00"/>
    <d v="2023-10-05T00:00:00"/>
    <n v="30"/>
    <n v="30"/>
    <n v="0"/>
    <n v="0"/>
    <s v="UPI/32783"/>
    <s v="UPI PAYMENT/32783"/>
    <x v="0"/>
    <s v="Exact amount + date + transaction type"/>
    <n v="95"/>
    <x v="0"/>
    <s v="No"/>
    <s v="No duplicate candidate"/>
  </r>
  <r>
    <s v="d3bc1598-5ded-4832-a6f9-069e5c28d7ac"/>
    <s v="LED100154"/>
    <d v="2023-10-05T00:00:00"/>
    <d v="2023-10-05T00:00:00"/>
    <n v="160"/>
    <n v="160"/>
    <n v="0"/>
    <n v="0"/>
    <s v="UPI/32784"/>
    <s v="UPI PAYMENT/32784"/>
    <x v="0"/>
    <s v="Exact amount + date + transaction type"/>
    <n v="95"/>
    <x v="0"/>
    <s v="No"/>
    <s v="No duplicate candidate"/>
  </r>
  <r>
    <s v="8e96f9b1-5fc7-489f-9566-35ac1f240252"/>
    <s v="LED100155"/>
    <d v="2023-10-06T00:00:00"/>
    <d v="2023-10-06T00:00:00"/>
    <n v="226"/>
    <n v="226"/>
    <n v="0"/>
    <n v="0"/>
    <s v="UPI/32795"/>
    <s v="UPI PAYMENT/32795"/>
    <x v="0"/>
    <s v="Exact amount + date + transaction type"/>
    <n v="95"/>
    <x v="0"/>
    <s v="No"/>
    <s v="No duplicate candidate"/>
  </r>
  <r>
    <s v="177a6ed6-5383-405b-b331-955da39f85c6"/>
    <s v="LED100156"/>
    <d v="2023-10-06T00:00:00"/>
    <d v="2023-10-06T00:00:00"/>
    <n v="320"/>
    <n v="320"/>
    <n v="0"/>
    <n v="0"/>
    <s v="UPI/BHARATPE"/>
    <s v="UPI PAYMENT/BHARATPE"/>
    <x v="0"/>
    <s v="Exact amount + date + transaction type"/>
    <n v="95"/>
    <x v="0"/>
    <s v="No"/>
    <s v="No duplicate candidate"/>
  </r>
  <r>
    <s v="39cad768-4f42-4879-9fa4-12f7d5f75fea"/>
    <s v="LED100157"/>
    <d v="2023-10-06T00:00:00"/>
    <d v="2023-10-06T00:00:00"/>
    <n v="10"/>
    <n v="10"/>
    <n v="0"/>
    <n v="0"/>
    <s v="UPI/36454"/>
    <s v="UPI PAYMENT/36454"/>
    <x v="0"/>
    <s v="Exact amount + date + transaction type"/>
    <n v="95"/>
    <x v="0"/>
    <s v="No"/>
    <s v="No duplicate candidate"/>
  </r>
  <r>
    <s v="8af09e5a-a98a-4a0a-9648-64d457d85070"/>
    <s v=""/>
    <d v="2023-10-06T00:00:00"/>
    <m/>
    <n v="700"/>
    <m/>
    <m/>
    <m/>
    <s v="UPI/3645"/>
    <s v=""/>
    <x v="2"/>
    <s v="No suitable ledger transaction found"/>
    <n v="0"/>
    <x v="2"/>
    <s v="No"/>
    <s v="No duplicate candidate"/>
  </r>
  <r>
    <s v="979fab68-939e-4b78-8f89-09c0dbb46472"/>
    <s v="LED100159"/>
    <d v="2023-10-06T00:00:00"/>
    <d v="2023-10-06T00:00:00"/>
    <n v="220"/>
    <n v="220"/>
    <n v="0"/>
    <n v="0"/>
    <s v="UPI/BHARATPE"/>
    <s v="UPI PAYMENT/BHARATPE"/>
    <x v="0"/>
    <s v="Exact amount + date + transaction type"/>
    <n v="95"/>
    <x v="0"/>
    <s v="No"/>
    <s v="No duplicate candidate"/>
  </r>
  <r>
    <s v="e30a976a-ef08-44a4-88c2-9105178a4999"/>
    <s v="LED100160"/>
    <d v="2023-10-06T00:00:00"/>
    <d v="2023-10-06T00:00:00"/>
    <n v="220"/>
    <n v="220"/>
    <n v="0"/>
    <n v="0"/>
    <s v="UPI/3279"/>
    <s v="UPI PAYMENT/3279"/>
    <x v="0"/>
    <s v="Exact amount + date + transaction type"/>
    <n v="95"/>
    <x v="0"/>
    <s v="No"/>
    <s v="No duplicate candidate"/>
  </r>
  <r>
    <s v="9f694e56-84bb-4322-86d1-048ed5d7b7b0"/>
    <s v="LED100161"/>
    <d v="2023-10-06T00:00:00"/>
    <d v="2023-10-06T00:00:00"/>
    <n v="30"/>
    <n v="30"/>
    <n v="0"/>
    <n v="0"/>
    <s v="UPI/36458"/>
    <s v="UPI PAYMENT/36458"/>
    <x v="0"/>
    <s v="Exact amount + date + transaction type"/>
    <n v="95"/>
    <x v="0"/>
    <s v="No"/>
    <s v="No duplicate candidate"/>
  </r>
  <r>
    <s v="d59218dd-56a8-4c04-b1b4-ac13349f5d81"/>
    <s v="LED100162"/>
    <d v="2023-10-07T00:00:00"/>
    <d v="2023-10-07T00:00:00"/>
    <n v="2330"/>
    <n v="2330"/>
    <n v="0"/>
    <n v="0"/>
    <s v="NEFT"/>
    <s v="NEFT PAYMENT"/>
    <x v="0"/>
    <s v="Exact reference + amount + date + type"/>
    <n v="100"/>
    <x v="0"/>
    <s v="No"/>
    <s v="No duplicate candidate"/>
  </r>
  <r>
    <s v="0cc87859-f3c0-4c5c-b51a-bfdd20a1433b"/>
    <s v="LED100163"/>
    <d v="2023-10-07T00:00:00"/>
    <d v="2023-10-07T00:00:00"/>
    <n v="19"/>
    <n v="19"/>
    <n v="0"/>
    <n v="0"/>
    <s v="UPI/GPAYBILLREACHARGE"/>
    <s v="UPI PAYMENT/GPAYBILLREACHARGE"/>
    <x v="0"/>
    <s v="Exact amount + date + transaction type"/>
    <n v="95"/>
    <x v="0"/>
    <s v="No"/>
    <s v="No duplicate candidate"/>
  </r>
  <r>
    <s v="d8aaf10a-4bd0-4389-812e-1b1588d811a4"/>
    <s v="LED100164"/>
    <d v="2023-10-07T00:00:00"/>
    <d v="2023-10-07T00:00:00"/>
    <n v="2000"/>
    <n v="2000"/>
    <n v="0"/>
    <n v="0"/>
    <s v="UPI/BHARATPE"/>
    <s v="UPI PAYMENT/BHARATPE"/>
    <x v="0"/>
    <s v="Exact amount + date + transaction type"/>
    <n v="95"/>
    <x v="0"/>
    <s v="No"/>
    <s v="No duplicate candidate"/>
  </r>
  <r>
    <s v="50052b56-dc7d-48e4-a9c6-3875ab1497d0"/>
    <s v="LED100165"/>
    <d v="2023-10-07T00:00:00"/>
    <d v="2023-10-07T00:00:00"/>
    <n v="20"/>
    <n v="20"/>
    <n v="0"/>
    <n v="0"/>
    <s v="UPI/36462"/>
    <s v="UPI PAYMENT/36462"/>
    <x v="0"/>
    <s v="Exact amount + date + transaction type"/>
    <n v="95"/>
    <x v="0"/>
    <s v="No"/>
    <s v="No duplicate candidate"/>
  </r>
  <r>
    <s v="1bd129a3-31f0-4a9c-b646-532f3decb10a"/>
    <s v="LED100166"/>
    <d v="2023-10-07T00:00:00"/>
    <d v="2023-10-07T00:00:00"/>
    <n v="330"/>
    <n v="330"/>
    <n v="0"/>
    <n v="0"/>
    <s v="UPI/32802"/>
    <s v="UPI PAYMENT/32802"/>
    <x v="0"/>
    <s v="Exact amount + date + transaction type"/>
    <n v="95"/>
    <x v="0"/>
    <s v="No"/>
    <s v="No duplicate candidate"/>
  </r>
  <r>
    <s v="1ae3ff28-9cdb-461b-921e-5137cbb992b8"/>
    <s v="LED100167"/>
    <d v="2023-10-08T00:00:00"/>
    <d v="2023-10-08T00:00:00"/>
    <n v="1900"/>
    <n v="1900"/>
    <n v="0"/>
    <n v="0"/>
    <s v="UPI/3647"/>
    <s v="UPI PAYMENT/3647"/>
    <x v="0"/>
    <s v="Exact amount + date + transaction type"/>
    <n v="95"/>
    <x v="0"/>
    <s v="No"/>
    <s v="No duplicate candidate"/>
  </r>
  <r>
    <s v="7c549684-4fc8-4b23-a781-d8f878d8ce29"/>
    <s v="LED100168"/>
    <d v="2023-10-08T00:00:00"/>
    <d v="2023-10-08T00:00:00"/>
    <n v="100"/>
    <n v="100"/>
    <n v="0"/>
    <n v="0"/>
    <s v="UPI/BHARATPE"/>
    <s v="UPI PAYMENT/BHARATPE"/>
    <x v="0"/>
    <s v="Exact amount + date + transaction type"/>
    <n v="95"/>
    <x v="0"/>
    <s v="No"/>
    <s v="No duplicate candidate"/>
  </r>
  <r>
    <s v="c59fa33b-8458-44ce-be05-d5944e2325c6"/>
    <s v="LED100169"/>
    <d v="2023-10-09T00:00:00"/>
    <d v="2023-10-09T00:00:00"/>
    <n v="100"/>
    <n v="100"/>
    <n v="0"/>
    <n v="0"/>
    <s v="NEFT"/>
    <s v="NEFT PAYMENT"/>
    <x v="0"/>
    <s v="Exact reference + amount + date + type"/>
    <n v="100"/>
    <x v="0"/>
    <s v="No"/>
    <s v="No duplicate candidate"/>
  </r>
  <r>
    <s v="b7b95690-4180-4dcc-90ae-b34aad750bbc"/>
    <s v="LED100170"/>
    <d v="2023-10-09T00:00:00"/>
    <d v="2023-10-09T00:00:00"/>
    <n v="2000"/>
    <n v="2000"/>
    <n v="0"/>
    <n v="0"/>
    <s v="UPI/36486"/>
    <s v="UPI PAYMENT/36486"/>
    <x v="0"/>
    <s v="Exact amount + date + transaction type"/>
    <n v="95"/>
    <x v="0"/>
    <s v="No"/>
    <s v="No duplicate candidate"/>
  </r>
  <r>
    <s v="74d0b7b2-cd18-4910-bcff-e515a3c704f5"/>
    <s v="LED100171"/>
    <d v="2023-10-09T00:00:00"/>
    <d v="2023-10-09T00:00:00"/>
    <n v="50"/>
    <n v="50"/>
    <n v="0"/>
    <n v="0"/>
    <s v="UPI/BHARATPE4"/>
    <s v="UPI PAYMENT/BHARATPE4"/>
    <x v="0"/>
    <s v="Exact amount + date + transaction type"/>
    <n v="95"/>
    <x v="0"/>
    <s v="No"/>
    <s v="No duplicate candidate"/>
  </r>
  <r>
    <s v="bb88f510-b541-44e1-87a4-069ea4c9f816"/>
    <s v="LED100172"/>
    <d v="2023-10-09T00:00:00"/>
    <d v="2023-10-08T00:00:00"/>
    <n v="100"/>
    <n v="100"/>
    <n v="0"/>
    <n v="-1"/>
    <s v="UPI/3648"/>
    <s v="UPI PAYMENT/3648"/>
    <x v="3"/>
    <s v="Amount + type match, date difference 1 day(s), description similarity 100%"/>
    <n v="80"/>
    <x v="1"/>
    <s v="No"/>
    <s v="No duplicate candidate"/>
  </r>
  <r>
    <s v="601ec0cd-17de-4fe2-906c-9ec67ac87798"/>
    <s v="LED100173"/>
    <d v="2023-10-09T00:00:00"/>
    <d v="2023-10-09T00:00:00"/>
    <n v="110"/>
    <n v="110"/>
    <n v="0"/>
    <n v="0"/>
    <s v="UPI/BHARATPE"/>
    <s v="UPI PAYMENT/BHARATPE"/>
    <x v="0"/>
    <s v="Exact amount + date + transaction type"/>
    <n v="95"/>
    <x v="0"/>
    <s v="No"/>
    <s v="No duplicate candidate"/>
  </r>
  <r>
    <s v="f24446ac-dee7-4127-987f-14d106066704"/>
    <s v="LED100174"/>
    <d v="2023-10-10T00:00:00"/>
    <d v="2023-10-10T00:00:00"/>
    <n v="100"/>
    <n v="100"/>
    <n v="0"/>
    <n v="0"/>
    <s v="NEFT"/>
    <s v="NEFT PAYMENT"/>
    <x v="0"/>
    <s v="Exact reference + amount + date + type"/>
    <n v="100"/>
    <x v="0"/>
    <s v="No"/>
    <s v="No duplicate candidate"/>
  </r>
  <r>
    <s v="c96959bd-3737-4608-874d-112b99790eb0"/>
    <s v="LED100175"/>
    <d v="2023-10-10T00:00:00"/>
    <d v="2023-10-10T00:00:00"/>
    <n v="20"/>
    <n v="20"/>
    <n v="0"/>
    <n v="0"/>
    <s v="UPI/BHARATPE"/>
    <s v="UPI PAYMENT/BHARATPE"/>
    <x v="0"/>
    <s v="Exact amount + date + transaction type"/>
    <n v="95"/>
    <x v="0"/>
    <s v="No"/>
    <s v="No duplicate candidate"/>
  </r>
  <r>
    <s v="d5bdd359-5af3-40e1-a991-3e9346cdd63e"/>
    <s v="LED100176"/>
    <d v="2023-10-10T00:00:00"/>
    <d v="2023-10-10T00:00:00"/>
    <n v="5"/>
    <n v="5"/>
    <n v="0"/>
    <n v="0"/>
    <s v="UPI/36499"/>
    <s v="UPI PAYMENT/36499"/>
    <x v="0"/>
    <s v="Exact amount + date + transaction type"/>
    <n v="95"/>
    <x v="0"/>
    <s v="No"/>
    <s v="No duplicate candidate"/>
  </r>
  <r>
    <s v="6d174e80-c032-4336-9133-dc7ac9817170"/>
    <s v="LED100177"/>
    <d v="2023-10-10T00:00:00"/>
    <d v="2023-10-10T00:00:00"/>
    <n v="310"/>
    <n v="310"/>
    <n v="0"/>
    <n v="0"/>
    <s v="UPI/PAYTM"/>
    <s v="UPI PAYMENT/PAYTM"/>
    <x v="0"/>
    <s v="Exact amount + date + transaction type"/>
    <n v="95"/>
    <x v="0"/>
    <s v="No"/>
    <s v="No duplicate candidate"/>
  </r>
  <r>
    <s v="6d30b4ce-41a8-490f-90df-6ecb91f6b32a"/>
    <s v="LED100178"/>
    <d v="2023-10-11T00:00:00"/>
    <d v="2023-10-11T00:00:00"/>
    <n v="500"/>
    <n v="500"/>
    <n v="0"/>
    <n v="0"/>
    <s v="UPI/32841"/>
    <s v="UPI PAYMENT/32841"/>
    <x v="0"/>
    <s v="Exact amount + date + transaction type"/>
    <n v="95"/>
    <x v="0"/>
    <s v="No"/>
    <s v="No duplicate candidate"/>
  </r>
  <r>
    <s v="8078fdd5-2c46-4cae-8ee1-d51aa7f1e5f8"/>
    <s v="LED100179"/>
    <d v="2023-10-11T00:00:00"/>
    <d v="2023-10-11T00:00:00"/>
    <n v="250"/>
    <n v="250"/>
    <n v="0"/>
    <n v="0"/>
    <s v="NEFT"/>
    <s v="NEFT PAYMENT"/>
    <x v="0"/>
    <s v="Exact reference + amount + date + type"/>
    <n v="100"/>
    <x v="0"/>
    <s v="No"/>
    <s v="No duplicate candidate"/>
  </r>
  <r>
    <s v="2744f39f-7233-45ba-bcee-cc1da7ba8fe1"/>
    <s v="LED100180"/>
    <d v="2023-10-11T00:00:00"/>
    <d v="2023-10-11T00:00:00"/>
    <n v="100"/>
    <n v="100"/>
    <n v="0"/>
    <n v="0"/>
    <s v="UPI/3650"/>
    <s v="UPI PAYMENT/3650"/>
    <x v="1"/>
    <s v="Amount + type match with description similarity 100%"/>
    <n v="85"/>
    <x v="1"/>
    <s v="No"/>
    <s v="No duplicate candidate"/>
  </r>
  <r>
    <s v="65eddd32-8d66-4c4d-a947-2b358232f3cb"/>
    <s v="LED100181"/>
    <d v="2023-10-11T00:00:00"/>
    <d v="2023-10-11T00:00:00"/>
    <n v="120"/>
    <n v="120"/>
    <n v="0"/>
    <n v="0"/>
    <s v="UPI/PAYTM"/>
    <s v="UPI PAYMENT/PAYTM"/>
    <x v="0"/>
    <s v="Exact amount + date + transaction type"/>
    <n v="95"/>
    <x v="0"/>
    <s v="No"/>
    <s v="No duplicate candidate"/>
  </r>
  <r>
    <s v="cac58514-4078-4a90-84cc-de42811911eb"/>
    <s v="LED100182"/>
    <d v="2023-10-11T00:00:00"/>
    <d v="2023-10-11T00:00:00"/>
    <n v="100"/>
    <n v="100"/>
    <n v="0"/>
    <n v="0"/>
    <s v="UPI/36509"/>
    <s v="UPI PAYMENT/36509"/>
    <x v="0"/>
    <s v="Exact amount + date + transaction type"/>
    <n v="95"/>
    <x v="0"/>
    <s v="No"/>
    <s v="No duplicate candidate"/>
  </r>
  <r>
    <s v="e1f83744-7362-4c54-89ce-1691eca8ef60"/>
    <s v="LED100183"/>
    <d v="2023-10-12T00:00:00"/>
    <d v="2023-10-12T00:00:00"/>
    <n v="1000"/>
    <n v="1000"/>
    <n v="0"/>
    <n v="0"/>
    <s v="NEFT"/>
    <s v="NEFT PAYMENT"/>
    <x v="0"/>
    <s v="Exact reference + amount + date + type"/>
    <n v="100"/>
    <x v="0"/>
    <s v="No"/>
    <s v="No duplicate candidate"/>
  </r>
  <r>
    <s v="809ea0c8-6adc-4383-bd99-7dbb099af5da"/>
    <s v="LED100184"/>
    <d v="2023-10-12T00:00:00"/>
    <d v="2023-10-12T00:00:00"/>
    <n v="200"/>
    <n v="200"/>
    <n v="0"/>
    <n v="0"/>
    <s v="UPI/3285"/>
    <s v="UPI PAYMENT/3285"/>
    <x v="0"/>
    <s v="Exact amount + date + transaction type"/>
    <n v="95"/>
    <x v="0"/>
    <s v="No"/>
    <s v="No duplicate candidate"/>
  </r>
  <r>
    <s v="bce416a1-2b74-4d3f-b4c8-c9ae537fa9a1"/>
    <s v="LED100185"/>
    <d v="2023-10-13T00:00:00"/>
    <d v="2023-10-13T00:00:00"/>
    <n v="600"/>
    <n v="600"/>
    <n v="0"/>
    <n v="0"/>
    <s v="NEFT"/>
    <s v="NEFT PAYMENT"/>
    <x v="0"/>
    <s v="Exact reference + amount + date + type"/>
    <n v="100"/>
    <x v="0"/>
    <s v="No"/>
    <s v="No duplicate candidate"/>
  </r>
  <r>
    <s v="20393504-68b3-4b3f-9e1f-155fd831cebb"/>
    <s v="LED100186"/>
    <d v="2023-10-14T00:00:00"/>
    <d v="2023-10-14T00:00:00"/>
    <n v="10"/>
    <n v="10"/>
    <n v="0"/>
    <n v="0"/>
    <s v="UPI/36530"/>
    <s v="UPI PAYMENT/36530"/>
    <x v="1"/>
    <s v="Amount + type match with description similarity 100%"/>
    <n v="85"/>
    <x v="1"/>
    <s v="No"/>
    <s v="No duplicate candidate"/>
  </r>
  <r>
    <s v="699002e0-2d99-4493-baab-97c17fdf2e75"/>
    <s v="LED100191"/>
    <d v="2023-10-14T00:00:00"/>
    <d v="2023-10-15T00:00:00"/>
    <n v="1000"/>
    <n v="510"/>
    <n v="-490"/>
    <n v="1"/>
    <s v="UPI/BHARATPE"/>
    <s v="UPI PAYMENT/BHARATPE"/>
    <x v="4"/>
    <s v="Description similarity 100% but amount differs by ₹490.00"/>
    <n v="80"/>
    <x v="1"/>
    <s v="No"/>
    <s v="No duplicate candidate"/>
  </r>
  <r>
    <s v="558d36f0-3e16-4507-92b7-50e77e0d9a55"/>
    <s v="LED100188"/>
    <d v="2023-10-14T00:00:00"/>
    <d v="2023-10-14T00:00:00"/>
    <n v="10"/>
    <n v="10"/>
    <n v="0"/>
    <n v="0"/>
    <s v="UPI/PAYTM101"/>
    <s v="UPI PAYMENT/PAYTM101"/>
    <x v="0"/>
    <s v="Exact amount + date + transaction type"/>
    <n v="95"/>
    <x v="0"/>
    <s v="No"/>
    <s v="No duplicate candidate"/>
  </r>
  <r>
    <s v="7c8a8442-bf95-44d2-a3ee-d4e4eb117c1f"/>
    <s v="LED100189"/>
    <d v="2023-10-15T00:00:00"/>
    <d v="2023-10-15T00:00:00"/>
    <n v="55"/>
    <n v="55"/>
    <n v="0"/>
    <n v="0"/>
    <s v="UPI/32880"/>
    <s v="UPI PAYMENT/32880"/>
    <x v="0"/>
    <s v="Exact amount + date + transaction type"/>
    <n v="95"/>
    <x v="0"/>
    <s v="No"/>
    <s v="No duplicate candidate"/>
  </r>
  <r>
    <s v="4ff90fe0-c39d-4f1a-bda7-487800f1945e"/>
    <s v="LED100190"/>
    <d v="2023-10-15T00:00:00"/>
    <d v="2023-10-15T00:00:00"/>
    <n v="300"/>
    <n v="300"/>
    <n v="0"/>
    <n v="0"/>
    <s v="UPI/32883"/>
    <s v="UPI PAYMENT/32883"/>
    <x v="0"/>
    <s v="Exact amount + date + transaction type"/>
    <n v="95"/>
    <x v="0"/>
    <s v="No"/>
    <s v="No duplicate candidate"/>
  </r>
  <r>
    <s v="dc0ee0f8-829f-44f6-a5f5-6bd0ac36c81b"/>
    <s v="LED100893"/>
    <d v="2023-10-15T00:00:00"/>
    <d v="2024-05-14T00:00:00"/>
    <n v="510"/>
    <n v="500"/>
    <n v="-10"/>
    <n v="212"/>
    <s v="UPI/BHARATPE"/>
    <s v="UPI PAYMENT/BHARATPE"/>
    <x v="4"/>
    <s v="Description similarity 100% but amount differs by ₹10.00"/>
    <n v="80"/>
    <x v="1"/>
    <s v="No"/>
    <s v="No duplicate candidate"/>
  </r>
  <r>
    <s v="9cba4c27-7f9b-4a22-af17-67d5e193766f"/>
    <s v="LED100192"/>
    <d v="2023-10-15T00:00:00"/>
    <d v="2023-10-15T00:00:00"/>
    <n v="50"/>
    <n v="50"/>
    <n v="0"/>
    <n v="0"/>
    <s v="UPI/PAYTMdp"/>
    <s v="UPI PAYMENT/PAYTMDP"/>
    <x v="0"/>
    <s v="Exact amount + date + transaction type"/>
    <n v="95"/>
    <x v="0"/>
    <s v="No"/>
    <s v="No duplicate candidate"/>
  </r>
  <r>
    <s v="509f6222-7a2b-45a3-b813-e97da77b66fc"/>
    <s v="LED100193"/>
    <d v="2023-10-16T00:00:00"/>
    <d v="2023-10-16T00:00:00"/>
    <n v="1300"/>
    <n v="1300"/>
    <n v="0"/>
    <n v="0"/>
    <s v="NEFT"/>
    <s v="NEFT PAYMENT"/>
    <x v="0"/>
    <s v="Exact reference + amount + date + type"/>
    <n v="100"/>
    <x v="0"/>
    <s v="No"/>
    <s v="No duplicate candidate"/>
  </r>
  <r>
    <s v="546f9c7a-6f58-40b0-9560-aca41605644d"/>
    <s v="LED100194"/>
    <d v="2023-10-16T00:00:00"/>
    <d v="2023-10-16T00:00:00"/>
    <n v="1000"/>
    <n v="1000"/>
    <n v="0"/>
    <n v="0"/>
    <s v="UPI/3289"/>
    <s v="UPI PAYMENT/3289"/>
    <x v="0"/>
    <s v="Exact amount + date + transaction type"/>
    <n v="95"/>
    <x v="0"/>
    <s v="No"/>
    <s v="No duplicate candidate"/>
  </r>
  <r>
    <s v="8b021c7e-13a1-4b6c-b757-dc5a3dde97ec"/>
    <s v="LED100195"/>
    <d v="2023-10-17T00:00:00"/>
    <d v="2023-10-17T00:00:00"/>
    <n v="241"/>
    <n v="241"/>
    <n v="0"/>
    <n v="0"/>
    <s v="UPI/JIOINAPPDIRECT/"/>
    <s v="UPI PAYMENT/JIOINAPPDIRECT/"/>
    <x v="0"/>
    <s v="Exact amount + date + transaction type"/>
    <n v="95"/>
    <x v="0"/>
    <s v="No"/>
    <s v="No duplicate candidate"/>
  </r>
  <r>
    <s v="d398a84c-b552-4023-9d8d-78af1b66d578"/>
    <s v="LED100196"/>
    <d v="2023-10-17T00:00:00"/>
    <d v="2023-10-17T00:00:00"/>
    <n v="950"/>
    <n v="950"/>
    <n v="0"/>
    <n v="0"/>
    <s v="NEFT"/>
    <s v="NEFT PAYMENT"/>
    <x v="0"/>
    <s v="Exact reference + amount + date + type"/>
    <n v="100"/>
    <x v="0"/>
    <s v="No"/>
    <s v="No duplicate candidate"/>
  </r>
  <r>
    <s v="eb8c18e6-2871-446f-b7ea-dc8120b38fd7"/>
    <s v="LED100197"/>
    <d v="2023-10-18T00:00:00"/>
    <d v="2023-10-18T00:00:00"/>
    <n v="930"/>
    <n v="930"/>
    <n v="0"/>
    <n v="0"/>
    <s v="NEFT"/>
    <s v="NEFT PAYMENT"/>
    <x v="0"/>
    <s v="Exact reference + amount + date + type"/>
    <n v="100"/>
    <x v="0"/>
    <s v="No"/>
    <s v="No duplicate candidate"/>
  </r>
  <r>
    <s v="9603956b-ea80-4bce-b673-e19476398b45"/>
    <s v="LED100198"/>
    <d v="2023-10-19T00:00:00"/>
    <d v="2023-10-19T00:00:00"/>
    <n v="25"/>
    <n v="25"/>
    <n v="0"/>
    <n v="0"/>
    <s v="UPI/32925"/>
    <s v="UPI PAYMENT/32925"/>
    <x v="0"/>
    <s v="Exact amount + date + transaction type"/>
    <n v="95"/>
    <x v="0"/>
    <s v="No"/>
    <s v="No duplicate candidate"/>
  </r>
  <r>
    <s v="f5a83366-1dd6-4bd3-8f15-10cf41f7310b"/>
    <s v="LED100199"/>
    <d v="2023-10-19T00:00:00"/>
    <d v="2023-10-19T00:00:00"/>
    <n v="10"/>
    <n v="10"/>
    <n v="0"/>
    <n v="0"/>
    <s v="UPI/32924"/>
    <s v="UPI PAYMENT/32924"/>
    <x v="0"/>
    <s v="Exact amount + date + transaction type"/>
    <n v="95"/>
    <x v="0"/>
    <s v="No"/>
    <s v="No duplicate candidate"/>
  </r>
  <r>
    <s v="0531c7aa-c1f2-414c-b136-fde68604ed61"/>
    <s v="LED100200"/>
    <d v="2023-10-20T00:00:00"/>
    <d v="2023-10-20T00:00:00"/>
    <n v="500"/>
    <n v="500"/>
    <n v="0"/>
    <n v="0"/>
    <s v="UPI/32931/"/>
    <s v="UPI PAYMENT/32931/"/>
    <x v="0"/>
    <s v="Exact amount + date + transaction type"/>
    <n v="95"/>
    <x v="0"/>
    <s v="No"/>
    <s v="No duplicate candidate"/>
  </r>
  <r>
    <s v="5c3b7e44-bf67-4d51-85ab-6894e2e9cde7"/>
    <s v="LED100201"/>
    <d v="2023-10-20T00:00:00"/>
    <d v="2023-10-20T00:00:00"/>
    <n v="40"/>
    <n v="40"/>
    <n v="0"/>
    <n v="0"/>
    <s v="UPI/36597"/>
    <s v="UPI PAYMENT/36597"/>
    <x v="0"/>
    <s v="Exact amount + date + transaction type"/>
    <n v="95"/>
    <x v="0"/>
    <s v="No"/>
    <s v="No duplicate candidate"/>
  </r>
  <r>
    <s v="9aa8a7f5-4019-44be-a141-c712b1b8b334"/>
    <s v="LED100202"/>
    <d v="2023-10-21T00:00:00"/>
    <d v="2023-10-21T00:00:00"/>
    <n v="830"/>
    <n v="830"/>
    <n v="0"/>
    <n v="0"/>
    <s v="NEFT"/>
    <s v="NEFT PAYMENT"/>
    <x v="0"/>
    <s v="Exact reference + amount + date + type"/>
    <n v="100"/>
    <x v="0"/>
    <s v="No"/>
    <s v="No duplicate candidate"/>
  </r>
  <r>
    <s v="fae0feb2-23d0-43c7-a0a4-f35a4d3b6497"/>
    <s v="LED100203"/>
    <d v="2023-10-21T00:00:00"/>
    <d v="2023-10-21T00:00:00"/>
    <n v="3300"/>
    <n v="3300"/>
    <n v="0"/>
    <n v="0"/>
    <s v="UPI/GPAY"/>
    <s v="UPI PAYMENT/GPAY"/>
    <x v="0"/>
    <s v="Exact amount + date + transaction type"/>
    <n v="95"/>
    <x v="0"/>
    <s v="No"/>
    <s v="No duplicate candidate"/>
  </r>
  <r>
    <s v="c097d89b-b2cf-4774-8309-4aaf893f1350"/>
    <s v="LED100204"/>
    <d v="2023-10-21T00:00:00"/>
    <d v="2023-10-21T00:00:00"/>
    <n v="136"/>
    <n v="136"/>
    <n v="0"/>
    <n v="0"/>
    <s v="UPI/36606"/>
    <s v="UPI PAYMENT/36606"/>
    <x v="0"/>
    <s v="Exact amount + date + transaction type"/>
    <n v="95"/>
    <x v="0"/>
    <s v="No"/>
    <s v="No duplicate candidate"/>
  </r>
  <r>
    <s v="359cbf7a-158a-4376-b7d1-bd9d5d529761"/>
    <s v="LED100205"/>
    <d v="2023-10-22T00:00:00"/>
    <d v="2023-10-22T00:00:00"/>
    <n v="200"/>
    <n v="200"/>
    <n v="0"/>
    <n v="0"/>
    <s v="UPI/36613"/>
    <s v="UPI PAYMENT/36613"/>
    <x v="0"/>
    <s v="Exact amount + date + transaction type"/>
    <n v="95"/>
    <x v="0"/>
    <s v="No"/>
    <s v="No duplicate candidate"/>
  </r>
  <r>
    <s v="d74640f5-bb06-4f9b-b21b-bce32d862fa4"/>
    <s v="LED100206"/>
    <d v="2023-10-22T00:00:00"/>
    <d v="2023-10-22T00:00:00"/>
    <n v="10"/>
    <n v="10"/>
    <n v="0"/>
    <n v="0"/>
    <s v="UPI/32958"/>
    <s v="UPI PAYMENT/32958"/>
    <x v="0"/>
    <s v="Exact amount + date + transaction type"/>
    <n v="95"/>
    <x v="0"/>
    <s v="No"/>
    <s v="No duplicate candidate"/>
  </r>
  <r>
    <s v="e3dd02e3-2294-4620-8d6c-3c95db04a5e4"/>
    <s v="LED100207"/>
    <d v="2023-10-23T00:00:00"/>
    <d v="2023-10-23T00:00:00"/>
    <n v="270"/>
    <n v="270"/>
    <n v="0"/>
    <n v="0"/>
    <s v="NEFT"/>
    <s v="NEFT PAYMENT"/>
    <x v="0"/>
    <s v="Exact reference + amount + date + type"/>
    <n v="100"/>
    <x v="0"/>
    <s v="No"/>
    <s v="No duplicate candidate"/>
  </r>
  <r>
    <s v="5a663c28-a8fd-4077-9a65-48f682bb09e8"/>
    <s v="LED100208"/>
    <d v="2023-10-23T00:00:00"/>
    <d v="2023-10-23T00:00:00"/>
    <n v="20"/>
    <n v="20"/>
    <n v="0"/>
    <n v="0"/>
    <s v="UPI/BHARATPE"/>
    <s v="UPI PAYMENT/BHARATPE"/>
    <x v="0"/>
    <s v="Exact amount + date + transaction type"/>
    <n v="95"/>
    <x v="0"/>
    <s v="No"/>
    <s v="No duplicate candidate"/>
  </r>
  <r>
    <s v="e5cb5574-6f29-4d02-b71a-55f792af3ddb"/>
    <s v="LED100209"/>
    <d v="2023-10-23T00:00:00"/>
    <d v="2023-10-23T00:00:00"/>
    <n v="100"/>
    <n v="100"/>
    <n v="0"/>
    <n v="0"/>
    <s v="UPI/3296"/>
    <s v="UPI PAYMENT/3296"/>
    <x v="0"/>
    <s v="Exact amount + date + transaction type"/>
    <n v="95"/>
    <x v="0"/>
    <s v="No"/>
    <s v="No duplicate candidate"/>
  </r>
  <r>
    <s v="9c95a744-1b6d-44a6-be6a-3b4afed32e7c"/>
    <s v="LED100210"/>
    <d v="2023-10-23T00:00:00"/>
    <d v="2023-10-23T00:00:00"/>
    <n v="150"/>
    <n v="150"/>
    <n v="0"/>
    <n v="0"/>
    <s v="UPI/BHARATPE"/>
    <s v="UPI PAYMENT/BHARATPE"/>
    <x v="0"/>
    <s v="Exact amount + date + transaction type"/>
    <n v="95"/>
    <x v="0"/>
    <s v="No"/>
    <s v="No duplicate candidate"/>
  </r>
  <r>
    <s v="49d3f474-c97e-4e36-b384-7014c001d5c7"/>
    <s v="LED100211"/>
    <d v="2023-10-24T00:00:00"/>
    <d v="2023-10-24T00:00:00"/>
    <n v="250"/>
    <n v="250"/>
    <n v="0"/>
    <n v="0"/>
    <s v="NEFT"/>
    <s v="NEFT PAYMENT"/>
    <x v="0"/>
    <s v="Exact reference + amount + date + type"/>
    <n v="100"/>
    <x v="0"/>
    <s v="No"/>
    <s v="No duplicate candidate"/>
  </r>
  <r>
    <s v="dfc6781b-58ff-4760-8291-04f0024601bd"/>
    <s v="LED100212"/>
    <d v="2023-10-24T00:00:00"/>
    <d v="2023-10-24T00:00:00"/>
    <n v="43"/>
    <n v="43"/>
    <n v="0"/>
    <n v="0"/>
    <s v="UPI/36636"/>
    <s v="UPI PAYMENT/36636"/>
    <x v="0"/>
    <s v="Exact amount + date + transaction type"/>
    <n v="95"/>
    <x v="0"/>
    <s v="No"/>
    <s v="No duplicate candidate"/>
  </r>
  <r>
    <s v="85b66477-4613-4666-9f2c-ae064034d79f"/>
    <s v="LED100213"/>
    <d v="2023-10-24T00:00:00"/>
    <d v="2023-10-24T00:00:00"/>
    <n v="100"/>
    <n v="100"/>
    <n v="0"/>
    <n v="0"/>
    <s v="UPI/32971"/>
    <s v="UPI PAYMENT/32971"/>
    <x v="0"/>
    <s v="Exact amount + date + transaction type"/>
    <n v="95"/>
    <x v="0"/>
    <s v="No"/>
    <s v="No duplicate candidate"/>
  </r>
  <r>
    <s v="9cdca0b6-cb0b-4d91-8a61-8170d770ea87"/>
    <s v="LED100214"/>
    <d v="2023-10-24T00:00:00"/>
    <d v="2023-10-24T00:00:00"/>
    <n v="150"/>
    <n v="150"/>
    <n v="0"/>
    <n v="0"/>
    <s v="UPI/PAYTM"/>
    <s v="UPI PAYMENT/PAYTM"/>
    <x v="0"/>
    <s v="Exact amount + date + transaction type"/>
    <n v="95"/>
    <x v="0"/>
    <s v="No"/>
    <s v="No duplicate candidate"/>
  </r>
  <r>
    <s v="16c81143-37e9-4b8e-9a48-0e39158f0861"/>
    <s v="LED100215"/>
    <d v="2023-10-24T00:00:00"/>
    <d v="2023-10-24T00:00:00"/>
    <n v="30"/>
    <n v="30"/>
    <n v="0"/>
    <n v="0"/>
    <s v="UPI/BHARATPE"/>
    <s v="UPI PAYMENT/BHARATPE"/>
    <x v="0"/>
    <s v="Exact amount + date + transaction type"/>
    <n v="95"/>
    <x v="0"/>
    <s v="No"/>
    <s v="No duplicate candidate"/>
  </r>
  <r>
    <s v="831c6f85-3e6d-4074-b1e5-4e4fe21b8cd4"/>
    <s v="LED100568"/>
    <d v="2023-10-24T00:00:00"/>
    <d v="2024-02-23T00:00:00"/>
    <n v="20"/>
    <n v="20"/>
    <n v="0"/>
    <n v="122"/>
    <s v="UPI/BHARATPE"/>
    <s v="UPI PAYMENT/BHARATPE"/>
    <x v="1"/>
    <s v="Same amount + high description similarity 100% but date differs by 122 days"/>
    <n v="60"/>
    <x v="2"/>
    <s v="No"/>
    <s v="No duplicate candidate"/>
  </r>
  <r>
    <s v="edfc5007-2c33-48bd-bdc0-5a6c8bc291c3"/>
    <s v="LED100217"/>
    <d v="2023-10-24T00:00:00"/>
    <d v="2023-10-24T00:00:00"/>
    <n v="200"/>
    <n v="200"/>
    <n v="0"/>
    <n v="0"/>
    <s v="UPI/32975"/>
    <s v="UPI PAYMENT/32975"/>
    <x v="0"/>
    <s v="Exact amount + date + transaction type"/>
    <n v="95"/>
    <x v="0"/>
    <s v="No"/>
    <s v="No duplicate candidate"/>
  </r>
  <r>
    <s v="a4bc2686-8db0-4dd6-bfc2-25961ac95b73"/>
    <s v="LED100218"/>
    <d v="2023-10-25T00:00:00"/>
    <d v="2023-10-25T00:00:00"/>
    <n v="1000"/>
    <n v="1000"/>
    <n v="0"/>
    <n v="0"/>
    <s v="NEFT"/>
    <s v="NEFT PAYMENT"/>
    <x v="0"/>
    <s v="Exact reference + amount + date + type"/>
    <n v="100"/>
    <x v="0"/>
    <s v="No"/>
    <s v="No duplicate candidate"/>
  </r>
  <r>
    <s v="ee894c06-f873-4f7b-a2c2-a5dac5c3964f"/>
    <s v="LED100219"/>
    <d v="2023-10-25T00:00:00"/>
    <d v="2023-10-25T00:00:00"/>
    <n v="60"/>
    <n v="60"/>
    <n v="0"/>
    <n v="0"/>
    <s v="UPI/36640/U"/>
    <s v="UPI PAYMENT/36640/U"/>
    <x v="0"/>
    <s v="Exact amount + date + transaction type"/>
    <n v="95"/>
    <x v="0"/>
    <s v="No"/>
    <s v="No duplicate candidate"/>
  </r>
  <r>
    <s v="8b680f57-f204-4e03-922f-9fd140fff54f"/>
    <s v="LED100220"/>
    <d v="2023-10-25T00:00:00"/>
    <d v="2023-10-25T00:00:00"/>
    <n v="19"/>
    <n v="19"/>
    <n v="0"/>
    <n v="0"/>
    <s v="UPI/JIOINAPPDIRECT/"/>
    <s v="UPI PAYMENT/JIOINAPPDIRECT/"/>
    <x v="0"/>
    <s v="Exact amount + date + transaction type"/>
    <n v="95"/>
    <x v="0"/>
    <s v="No"/>
    <s v="No duplicate candidate"/>
  </r>
  <r>
    <s v="1c439506-fc8d-45e5-ae81-7d0daab976fd"/>
    <s v="LED100221"/>
    <d v="2023-10-26T00:00:00"/>
    <d v="2023-10-26T00:00:00"/>
    <n v="10"/>
    <n v="10"/>
    <n v="0"/>
    <n v="0"/>
    <s v="UPI/36655"/>
    <s v="UPI PAYMENT/36655"/>
    <x v="0"/>
    <s v="Exact amount + date + transaction type"/>
    <n v="95"/>
    <x v="0"/>
    <s v="No"/>
    <s v="No duplicate candidate"/>
  </r>
  <r>
    <s v="884e791b-e8bf-45aa-a63a-561667ae14ba"/>
    <s v="LED100224"/>
    <d v="2023-10-28T00:00:00"/>
    <d v="2023-10-28T00:00:00"/>
    <n v="400"/>
    <n v="400"/>
    <n v="0"/>
    <n v="0"/>
    <s v="NEFT"/>
    <s v="UPI PAYMENT/PAYTM"/>
    <x v="0"/>
    <s v="Exact amount + date + transaction type"/>
    <n v="95"/>
    <x v="0"/>
    <s v="No"/>
    <s v="No duplicate candidate"/>
  </r>
  <r>
    <s v="3bc9eb42-0bb0-4e3a-b035-b49f0a058b82"/>
    <s v="LED100223"/>
    <d v="2023-10-28T00:00:00"/>
    <d v="2023-10-28T00:00:00"/>
    <n v="239"/>
    <n v="239"/>
    <n v="0"/>
    <n v="0"/>
    <s v="UPI/EURONETGPAY"/>
    <s v="UPI PAYMENT/EURONETGPAY"/>
    <x v="0"/>
    <s v="Exact amount + date + transaction type"/>
    <n v="95"/>
    <x v="0"/>
    <s v="No"/>
    <s v="No duplicate candidate"/>
  </r>
  <r>
    <s v="7169dcf4-e9d8-4d10-910c-f39b4c1f93ae"/>
    <s v=""/>
    <d v="2023-10-28T00:00:00"/>
    <m/>
    <n v="400"/>
    <m/>
    <m/>
    <m/>
    <s v="UPI/PAYTM"/>
    <s v=""/>
    <x v="2"/>
    <s v="No suitable ledger transaction found"/>
    <n v="0"/>
    <x v="2"/>
    <s v="No"/>
    <s v="No duplicate candidate"/>
  </r>
  <r>
    <s v="1c3be831-b1a6-4243-b2a7-da4c2fb6f345"/>
    <s v="LED100225"/>
    <d v="2023-10-28T00:00:00"/>
    <d v="2023-10-28T00:00:00"/>
    <n v="310"/>
    <n v="310"/>
    <n v="0"/>
    <n v="0"/>
    <s v="UPI/PAYTM"/>
    <s v="UPI PAYMENT/PAYTM"/>
    <x v="0"/>
    <s v="Exact amount + date + transaction type"/>
    <n v="95"/>
    <x v="0"/>
    <s v="No"/>
    <s v="No duplicate candidate"/>
  </r>
  <r>
    <s v="8b0ce824-2823-4351-b7a4-5289a71f8458"/>
    <s v="LED100226"/>
    <d v="2023-10-28T00:00:00"/>
    <d v="2023-10-28T00:00:00"/>
    <n v="215"/>
    <n v="215"/>
    <n v="0"/>
    <n v="0"/>
    <s v="UPI/36671"/>
    <s v="UPI PAYMENT/36671"/>
    <x v="0"/>
    <s v="Exact amount + date + transaction type"/>
    <n v="95"/>
    <x v="0"/>
    <s v="No"/>
    <s v="No duplicate candidate"/>
  </r>
  <r>
    <s v="0f0c4711-5d8c-46be-b8fd-f097ec067ca2"/>
    <s v="LED100227"/>
    <d v="2023-10-30T00:00:00"/>
    <d v="2023-10-30T00:00:00"/>
    <n v="2"/>
    <n v="2"/>
    <n v="0"/>
    <n v="0"/>
    <s v="NEFT"/>
    <s v="NEFT PAYMENT"/>
    <x v="0"/>
    <s v="Exact reference + amount + date + type"/>
    <n v="100"/>
    <x v="0"/>
    <s v="No"/>
    <s v="No duplicate candidate"/>
  </r>
  <r>
    <s v="8f29ee5f-6d09-4ffe-8b32-65a507519289"/>
    <s v="LED100228"/>
    <d v="2023-10-30T00:00:00"/>
    <d v="2023-10-30T00:00:00"/>
    <n v="22"/>
    <n v="22"/>
    <n v="0"/>
    <n v="0"/>
    <s v="UPI/33035"/>
    <s v="UPI PAYMENT/33035"/>
    <x v="0"/>
    <s v="Exact amount + date + transaction type"/>
    <n v="95"/>
    <x v="0"/>
    <s v="No"/>
    <s v="No duplicate candidate"/>
  </r>
  <r>
    <s v="f7a0a036-2ce3-4a7c-951d-2b6b9719b849"/>
    <s v="LED100229"/>
    <d v="2023-10-30T00:00:00"/>
    <d v="2023-10-30T00:00:00"/>
    <n v="200"/>
    <n v="200"/>
    <n v="0"/>
    <n v="0"/>
    <s v="UPI/3303"/>
    <s v="UPI PAYMENT/3303"/>
    <x v="0"/>
    <s v="Exact amount + date + transaction type"/>
    <n v="95"/>
    <x v="0"/>
    <s v="No"/>
    <s v="No duplicate candidate"/>
  </r>
  <r>
    <s v="1f52f45a-34af-4630-af73-0994db93492c"/>
    <s v="LED100230"/>
    <d v="2023-10-30T00:00:00"/>
    <d v="2023-10-30T00:00:00"/>
    <n v="200"/>
    <n v="200"/>
    <n v="0"/>
    <n v="0"/>
    <s v="UPI/BHARATPE"/>
    <s v="UPI PAYMENT/BHARATPE"/>
    <x v="0"/>
    <s v="Exact amount + date + transaction type"/>
    <n v="95"/>
    <x v="0"/>
    <s v="No"/>
    <s v="No duplicate candidate"/>
  </r>
  <r>
    <s v="bca2495e-7cce-432f-bdda-471b907ec613"/>
    <s v="LED100231"/>
    <d v="2023-10-31T00:00:00"/>
    <d v="2023-10-31T00:00:00"/>
    <n v="30"/>
    <n v="30"/>
    <n v="0"/>
    <n v="0"/>
    <s v="UPI/BHARATPE"/>
    <s v="UPI PAYMENT/BHARATPE"/>
    <x v="0"/>
    <s v="Exact amount + date + transaction type"/>
    <n v="95"/>
    <x v="0"/>
    <s v="No"/>
    <s v="No duplicate candidate"/>
  </r>
  <r>
    <s v="de44cd2d-0a16-4dbf-807a-b47d70c3c694"/>
    <s v="LED100232"/>
    <d v="2023-11-01T00:00:00"/>
    <d v="2023-11-01T00:00:00"/>
    <n v="145"/>
    <n v="145"/>
    <n v="0"/>
    <n v="0"/>
    <s v="UPI/36716"/>
    <s v="UPI PAYMENT/36716"/>
    <x v="0"/>
    <s v="Exact amount + date + transaction type"/>
    <n v="95"/>
    <x v="0"/>
    <s v="No"/>
    <s v="No duplicate candidate"/>
  </r>
  <r>
    <s v="6fa60611-61be-4564-a3c8-b47e98c91994"/>
    <s v="LED100233"/>
    <d v="2023-11-02T00:00:00"/>
    <d v="2023-11-02T00:00:00"/>
    <n v="280"/>
    <n v="280"/>
    <n v="0"/>
    <n v="0"/>
    <s v="NEFT"/>
    <s v="NEFT PAYMENT"/>
    <x v="0"/>
    <s v="Exact reference + amount + date + type"/>
    <n v="100"/>
    <x v="0"/>
    <s v="No"/>
    <s v="No duplicate candidate"/>
  </r>
  <r>
    <s v="db47a064-9201-49ba-97b2-6bf457a6941b"/>
    <s v="LED100234"/>
    <d v="2023-11-02T00:00:00"/>
    <d v="2023-11-02T00:00:00"/>
    <n v="500"/>
    <n v="500"/>
    <n v="0"/>
    <n v="0"/>
    <s v="UPI/33061"/>
    <s v="UPI PAYMENT/33061"/>
    <x v="0"/>
    <s v="Exact amount + date + transaction type"/>
    <n v="95"/>
    <x v="0"/>
    <s v="No"/>
    <s v="No duplicate candidate"/>
  </r>
  <r>
    <s v="c37b3623-e44d-418f-91bc-8816abd60877"/>
    <s v="LED100235"/>
    <d v="2023-11-02T00:00:00"/>
    <d v="2023-11-02T00:00:00"/>
    <n v="10"/>
    <n v="10"/>
    <n v="0"/>
    <n v="0"/>
    <s v="UPI/33060"/>
    <s v="UPI PAYMENT/33060"/>
    <x v="0"/>
    <s v="Exact amount + date + transaction type"/>
    <n v="95"/>
    <x v="0"/>
    <s v="No"/>
    <s v="No duplicate candidate"/>
  </r>
  <r>
    <s v="faab3b7e-102d-4fdf-95c3-9fbf354d8fa2"/>
    <s v="LED100236"/>
    <d v="2023-11-02T00:00:00"/>
    <d v="2023-11-02T00:00:00"/>
    <n v="150"/>
    <n v="150"/>
    <n v="0"/>
    <n v="0"/>
    <s v="UPI/PAYTMwp"/>
    <s v="UPI PAYMENT/PAYTMWP"/>
    <x v="0"/>
    <s v="Exact amount + date + transaction type"/>
    <n v="95"/>
    <x v="0"/>
    <s v="No"/>
    <s v="No duplicate candidate"/>
  </r>
  <r>
    <s v="f67d2304-8bd9-424e-a19a-51f108ce0cb7"/>
    <s v="LED100237"/>
    <d v="2023-11-03T00:00:00"/>
    <d v="2023-11-03T00:00:00"/>
    <n v="60"/>
    <n v="60"/>
    <n v="0"/>
    <n v="0"/>
    <s v="UPI/PAYTM"/>
    <s v="UPI PAYMENT/PAYTM"/>
    <x v="0"/>
    <s v="Exact amount + date + transaction type"/>
    <n v="95"/>
    <x v="0"/>
    <s v="No"/>
    <s v="No duplicate candidate"/>
  </r>
  <r>
    <s v="848b08b3-d77c-4edf-b994-e3a62b42ae96"/>
    <s v="LED100238"/>
    <d v="2023-11-03T00:00:00"/>
    <d v="2023-11-03T00:00:00"/>
    <n v="180"/>
    <n v="180"/>
    <n v="0"/>
    <n v="0"/>
    <s v="UPI/33078"/>
    <s v="UPI PAYMENT/33078"/>
    <x v="0"/>
    <s v="Exact amount + date + transaction type"/>
    <n v="95"/>
    <x v="0"/>
    <s v="No"/>
    <s v="No duplicate candidate"/>
  </r>
  <r>
    <s v="21966ea9-f6f5-4f1c-94c3-a4aebb56cdb6"/>
    <s v="LED100239"/>
    <d v="2023-11-04T00:00:00"/>
    <d v="2023-11-04T00:00:00"/>
    <n v="500"/>
    <n v="500"/>
    <n v="0"/>
    <n v="0"/>
    <s v="UPI/36746"/>
    <s v="UPI PAYMENT/36746"/>
    <x v="0"/>
    <s v="Exact amount + date + transaction type"/>
    <n v="95"/>
    <x v="0"/>
    <s v="No"/>
    <s v="No duplicate candidate"/>
  </r>
  <r>
    <s v="f2402973-d02a-48e8-a071-606321e13384"/>
    <s v="LED100240"/>
    <d v="2023-11-04T00:00:00"/>
    <d v="2023-11-04T00:00:00"/>
    <n v="19"/>
    <n v="19"/>
    <n v="0"/>
    <n v="0"/>
    <s v="UPI/BILLDESKRECHARGE"/>
    <s v="UPI PAYMENT/BILLDESKRECHARGE"/>
    <x v="0"/>
    <s v="Exact amount + date + transaction type"/>
    <n v="95"/>
    <x v="0"/>
    <s v="No"/>
    <s v="No duplicate candidate"/>
  </r>
  <r>
    <s v="21e97e5d-ea16-4110-a444-37f81fdf8430"/>
    <s v="LED100241"/>
    <d v="2023-11-05T00:00:00"/>
    <d v="2023-11-05T00:00:00"/>
    <n v="20"/>
    <n v="20"/>
    <n v="0"/>
    <n v="0"/>
    <s v="UPI/33095"/>
    <s v="UPI PAYMENT/33095"/>
    <x v="0"/>
    <s v="Exact amount + date + transaction type"/>
    <n v="95"/>
    <x v="0"/>
    <s v="No"/>
    <s v="No duplicate candidate"/>
  </r>
  <r>
    <s v="c39571d4-4945-4c65-8d20-7bca996636a4"/>
    <s v="LED100242"/>
    <d v="2023-11-06T00:00:00"/>
    <d v="2023-11-06T00:00:00"/>
    <n v="200"/>
    <n v="200"/>
    <n v="0"/>
    <n v="0"/>
    <s v="UPI/3310"/>
    <s v="UPI PAYMENT/3310"/>
    <x v="0"/>
    <s v="Exact amount + date + transaction type"/>
    <n v="95"/>
    <x v="0"/>
    <s v="No"/>
    <s v="No duplicate candidate"/>
  </r>
  <r>
    <s v="367ea7ac-a367-4b43-9200-1d8f355b175e"/>
    <s v="LED100243"/>
    <d v="2023-11-06T00:00:00"/>
    <d v="2023-11-06T00:00:00"/>
    <n v="200"/>
    <n v="200"/>
    <n v="0"/>
    <n v="0"/>
    <s v="UPI/36763"/>
    <s v="UPI PAYMENT/36763"/>
    <x v="0"/>
    <s v="Exact amount + date + transaction type"/>
    <n v="95"/>
    <x v="0"/>
    <s v="No"/>
    <s v="No duplicate candidate"/>
  </r>
  <r>
    <s v="6ed93c29-40da-4cef-b3d2-10f05dbfe25b"/>
    <s v="LED100244"/>
    <d v="2023-11-06T00:00:00"/>
    <d v="2023-11-06T00:00:00"/>
    <n v="105"/>
    <n v="105"/>
    <n v="0"/>
    <n v="0"/>
    <s v="UPI/36761"/>
    <s v="UPI PAYMENT/36761"/>
    <x v="0"/>
    <s v="Exact amount + date + transaction type"/>
    <n v="95"/>
    <x v="0"/>
    <s v="No"/>
    <s v="No duplicate candidate"/>
  </r>
  <r>
    <s v="4f4d0daf-5ad6-49d4-a7a6-1e00c8737e63"/>
    <s v="LED100245"/>
    <d v="2023-11-07T00:00:00"/>
    <d v="2023-11-07T00:00:00"/>
    <n v="1150"/>
    <n v="1150"/>
    <n v="0"/>
    <n v="0"/>
    <s v="NEFT"/>
    <s v="NEFT PAYMENT"/>
    <x v="0"/>
    <s v="Exact reference + amount + date + type"/>
    <n v="100"/>
    <x v="0"/>
    <s v="No"/>
    <s v="No duplicate candidate"/>
  </r>
  <r>
    <s v="3ef28929-ec15-42e9-b289-6184b2b41521"/>
    <s v="LED100246"/>
    <d v="2023-11-07T00:00:00"/>
    <d v="2023-11-07T00:00:00"/>
    <n v="51"/>
    <n v="51"/>
    <n v="0"/>
    <n v="0"/>
    <s v="UPI/33115"/>
    <s v="UPI PAYMENT/33115"/>
    <x v="0"/>
    <s v="Exact amount + date + transaction type"/>
    <n v="95"/>
    <x v="0"/>
    <s v="No"/>
    <s v="No duplicate candidate"/>
  </r>
  <r>
    <s v="4ef8759e-641f-4ded-8f4d-b3a7431c7c7b"/>
    <s v="LED100247"/>
    <d v="2023-11-07T00:00:00"/>
    <d v="2023-11-07T00:00:00"/>
    <n v="500"/>
    <n v="500"/>
    <n v="0"/>
    <n v="0"/>
    <s v="UPI/33113"/>
    <s v="UPI PAYMENT/33113"/>
    <x v="0"/>
    <s v="Exact amount + date + transaction type"/>
    <n v="95"/>
    <x v="0"/>
    <s v="No"/>
    <s v="No duplicate candidate"/>
  </r>
  <r>
    <s v="8a3ccbf2-08d2-48dc-b75d-022493b7426c"/>
    <s v="LED100248"/>
    <d v="2023-11-07T00:00:00"/>
    <d v="2023-11-07T00:00:00"/>
    <n v="10"/>
    <n v="10"/>
    <n v="0"/>
    <n v="0"/>
    <s v="UPI/36774"/>
    <s v="UPI PAYMENT/36774"/>
    <x v="0"/>
    <s v="Exact amount + date + transaction type"/>
    <n v="95"/>
    <x v="0"/>
    <s v="No"/>
    <s v="No duplicate candidate"/>
  </r>
  <r>
    <s v="9be68c05-3054-4202-95d5-0f9ededc5d16"/>
    <s v="LED100249"/>
    <d v="2023-11-07T00:00:00"/>
    <d v="2023-11-07T00:00:00"/>
    <n v="50"/>
    <n v="50"/>
    <n v="0"/>
    <n v="0"/>
    <s v="UPI/33112"/>
    <s v="UPI PAYMENT/33112"/>
    <x v="0"/>
    <s v="Exact amount + date + transaction type"/>
    <n v="95"/>
    <x v="0"/>
    <s v="No"/>
    <s v="No duplicate candidate"/>
  </r>
  <r>
    <s v="d4ecd289-3506-4423-a600-10a8c34bfde1"/>
    <s v="LED100250"/>
    <d v="2023-11-08T00:00:00"/>
    <d v="2023-11-08T00:00:00"/>
    <n v="250"/>
    <n v="250"/>
    <n v="0"/>
    <n v="0"/>
    <s v="NEFT"/>
    <s v="NEFT PAYMENT"/>
    <x v="0"/>
    <s v="Exact reference + amount + date + type"/>
    <n v="100"/>
    <x v="0"/>
    <s v="No"/>
    <s v="No duplicate candidate"/>
  </r>
  <r>
    <s v="d3935b54-131c-4c9d-9d0d-23f60439bb98"/>
    <s v="LED100251"/>
    <d v="2023-11-08T00:00:00"/>
    <d v="2023-11-08T00:00:00"/>
    <n v="180"/>
    <n v="180"/>
    <n v="0"/>
    <n v="0"/>
    <s v="UPI/3312"/>
    <s v="UPI PAYMENT/3312"/>
    <x v="0"/>
    <s v="Exact amount + date + transaction type"/>
    <n v="95"/>
    <x v="0"/>
    <s v="No"/>
    <s v="No duplicate candidate"/>
  </r>
  <r>
    <s v="633820ea-fcd9-449f-9457-9392cfb54d66"/>
    <s v="LED100252"/>
    <d v="2023-10-31T00:00:00"/>
    <d v="2023-10-31T00:00:00"/>
    <n v="15"/>
    <n v="15"/>
    <n v="0"/>
    <n v="0"/>
    <s v="518881000"/>
    <s v="518881000"/>
    <x v="0"/>
    <s v="Exact amount + date + transaction type"/>
    <n v="95"/>
    <x v="0"/>
    <s v="No"/>
    <s v="No duplicate candidate"/>
  </r>
  <r>
    <s v="e85c9e1a-eaac-423f-b630-14e357842c98"/>
    <s v="LED100253"/>
    <d v="2023-11-08T00:00:00"/>
    <d v="2023-11-08T00:00:00"/>
    <n v="50"/>
    <n v="50"/>
    <n v="0"/>
    <n v="0"/>
    <s v="UPI/33128/"/>
    <s v="UPI PAYMENT/33128/"/>
    <x v="0"/>
    <s v="Exact amount + date + transaction type"/>
    <n v="95"/>
    <x v="0"/>
    <s v="No"/>
    <s v="No duplicate candidate"/>
  </r>
  <r>
    <s v="5c8f92f9-7d43-4615-946e-dfbc51236589"/>
    <s v="LED100254"/>
    <d v="2023-11-09T00:00:00"/>
    <d v="2023-11-09T00:00:00"/>
    <n v="2950"/>
    <n v="2950"/>
    <n v="0"/>
    <n v="0"/>
    <s v="NEFT"/>
    <s v="NEFT PAYMENT"/>
    <x v="0"/>
    <s v="Exact reference + amount + date + type"/>
    <n v="100"/>
    <x v="0"/>
    <s v="No"/>
    <s v="No duplicate candidate"/>
  </r>
  <r>
    <s v="7f58d530-1042-4167-ad0c-705c51e04571"/>
    <s v="LED100255"/>
    <d v="2023-11-09T00:00:00"/>
    <d v="2023-11-09T00:00:00"/>
    <n v="200"/>
    <n v="200"/>
    <n v="0"/>
    <n v="0"/>
    <s v="UPI/33131"/>
    <s v="UPI PAYMENT/33131"/>
    <x v="0"/>
    <s v="Exact amount + date + transaction type"/>
    <n v="95"/>
    <x v="0"/>
    <s v="No"/>
    <s v="No duplicate candidate"/>
  </r>
  <r>
    <s v="2b308e5b-4d37-4c5e-bab3-a4046bf82c74"/>
    <s v="LED100256"/>
    <d v="2023-11-09T00:00:00"/>
    <d v="2023-11-09T00:00:00"/>
    <n v="140"/>
    <n v="140"/>
    <n v="0"/>
    <n v="0"/>
    <s v="UPI/33138"/>
    <s v="UPI PAYMENT/33138"/>
    <x v="0"/>
    <s v="Exact amount + date + transaction type"/>
    <n v="95"/>
    <x v="0"/>
    <s v="No"/>
    <s v="No duplicate candidate"/>
  </r>
  <r>
    <s v="bf8ceac8-b9bf-4426-ba5d-6aef34194b89"/>
    <s v="LED100257"/>
    <d v="2023-11-10T00:00:00"/>
    <d v="2023-11-10T00:00:00"/>
    <n v="10"/>
    <n v="10"/>
    <n v="0"/>
    <n v="0"/>
    <s v="NEFT"/>
    <s v="NEFT PAYMENT"/>
    <x v="0"/>
    <s v="Exact reference + amount + date + type"/>
    <n v="100"/>
    <x v="0"/>
    <s v="No"/>
    <s v="No duplicate candidate"/>
  </r>
  <r>
    <s v="33b2d244-724a-45a2-a3be-5bff19944544"/>
    <s v="LED100258"/>
    <d v="2023-11-10T00:00:00"/>
    <d v="2023-11-10T00:00:00"/>
    <n v="1250"/>
    <n v="1250"/>
    <n v="0"/>
    <n v="0"/>
    <s v="UPI/PAYTMgp"/>
    <s v="UPI PAYMENT/PAYTMGP"/>
    <x v="0"/>
    <s v="Exact amount + date + transaction type"/>
    <n v="95"/>
    <x v="0"/>
    <s v="No"/>
    <s v="No duplicate candidate"/>
  </r>
  <r>
    <s v="03810f5c-a342-4261-81c1-c6dd5837109d"/>
    <s v="LED100259"/>
    <d v="2023-11-10T00:00:00"/>
    <d v="2023-11-10T00:00:00"/>
    <n v="50"/>
    <n v="50"/>
    <n v="0"/>
    <n v="0"/>
    <s v="UPI/36801"/>
    <s v="UPI PAYMENT/36801"/>
    <x v="0"/>
    <s v="Exact amount + date + transaction type"/>
    <n v="95"/>
    <x v="0"/>
    <s v="No"/>
    <s v="No duplicate candidate"/>
  </r>
  <r>
    <s v="6c1a5ee0-7414-40a4-9f36-8b6933f0fa83"/>
    <s v="LED100260"/>
    <d v="2023-11-11T00:00:00"/>
    <d v="2023-11-11T00:00:00"/>
    <n v="3440"/>
    <n v="3440"/>
    <n v="0"/>
    <n v="0"/>
    <s v="NEFT"/>
    <s v="NEFT PAYMENT"/>
    <x v="0"/>
    <s v="Exact reference + amount + date + type"/>
    <n v="100"/>
    <x v="0"/>
    <s v="No"/>
    <s v="No duplicate candidate"/>
  </r>
  <r>
    <s v="a8ef789c-e018-4091-ae3c-1a8dd3059cee"/>
    <s v="LED100261"/>
    <d v="2023-11-11T00:00:00"/>
    <d v="2023-11-11T00:00:00"/>
    <n v="40"/>
    <n v="40"/>
    <n v="0"/>
    <n v="0"/>
    <s v="UPI/33153"/>
    <s v="UPI PAYMENT/33153"/>
    <x v="0"/>
    <s v="Exact amount + date + transaction type"/>
    <n v="95"/>
    <x v="0"/>
    <s v="No"/>
    <s v="No duplicate candidate"/>
  </r>
  <r>
    <s v="a1c54d9d-c9c1-4c41-b7e4-98f8432b533b"/>
    <s v="LED100262"/>
    <d v="2023-11-11T00:00:00"/>
    <d v="2023-11-11T00:00:00"/>
    <n v="120"/>
    <n v="120"/>
    <n v="0"/>
    <n v="0"/>
    <s v="UPI/PAYTM"/>
    <s v="UPI PAYMENT/PAYTM"/>
    <x v="0"/>
    <s v="Exact amount + date + transaction type"/>
    <n v="95"/>
    <x v="0"/>
    <s v="No"/>
    <s v="No duplicate candidate"/>
  </r>
  <r>
    <s v="f33055c2-9880-4c3c-b579-bc9dbdba255f"/>
    <s v="LED100263"/>
    <d v="2023-11-11T00:00:00"/>
    <d v="2023-11-11T00:00:00"/>
    <n v="30"/>
    <n v="30"/>
    <n v="0"/>
    <n v="0"/>
    <s v="UPI/PAYTMdp"/>
    <s v="UPI PAYMENT/PAYTMDP"/>
    <x v="0"/>
    <s v="Exact amount + date + transaction type"/>
    <n v="95"/>
    <x v="0"/>
    <s v="No"/>
    <s v="No duplicate candidate"/>
  </r>
  <r>
    <s v="058be90e-d820-42c5-b220-eb68cb6d91e6"/>
    <s v="LED100264"/>
    <d v="2023-11-11T00:00:00"/>
    <d v="2023-11-11T00:00:00"/>
    <n v="170"/>
    <n v="170"/>
    <n v="0"/>
    <n v="0"/>
    <s v="UPI/3315"/>
    <s v="UPI PAYMENT/3315"/>
    <x v="0"/>
    <s v="Exact amount + date + transaction type"/>
    <n v="95"/>
    <x v="0"/>
    <s v="No"/>
    <s v="No duplicate candidate"/>
  </r>
  <r>
    <s v="3f84beb9-7021-4782-9647-5ba0284541a3"/>
    <s v="LED100265"/>
    <d v="2023-11-11T00:00:00"/>
    <d v="2023-11-11T00:00:00"/>
    <n v="330"/>
    <n v="330"/>
    <n v="0"/>
    <n v="0"/>
    <s v="UPI/3681"/>
    <s v="UPI PAYMENT/3681"/>
    <x v="1"/>
    <s v="Amount + type match with description similarity 100%"/>
    <n v="85"/>
    <x v="1"/>
    <s v="Yes"/>
    <s v="Duplicate candidate detected"/>
  </r>
  <r>
    <s v="edcbfa22-a7c9-45bf-98f3-1b66f9293d78"/>
    <s v="LED100266"/>
    <d v="2023-11-12T00:00:00"/>
    <d v="2023-11-12T00:00:00"/>
    <n v="4730"/>
    <n v="4730"/>
    <n v="0"/>
    <n v="0"/>
    <s v="NEFT"/>
    <s v="NEFT PAYMENT"/>
    <x v="0"/>
    <s v="Exact reference + amount + date + type"/>
    <n v="100"/>
    <x v="0"/>
    <s v="No"/>
    <s v="No duplicate candidate"/>
  </r>
  <r>
    <s v="8b2832e2-79dc-4eec-ae84-d655ce623ccd"/>
    <s v="LED100267"/>
    <d v="2023-11-12T00:00:00"/>
    <d v="2023-11-12T00:00:00"/>
    <n v="1660"/>
    <n v="1660"/>
    <n v="0"/>
    <n v="0"/>
    <s v="UPI/33167"/>
    <s v="UPI PAYMENT/33167"/>
    <x v="0"/>
    <s v="Exact amount + date + transaction type"/>
    <n v="95"/>
    <x v="0"/>
    <s v="No"/>
    <s v="No duplicate candidate"/>
  </r>
  <r>
    <s v="330170cb-557c-4c51-a25f-dd1b3b1d6537"/>
    <s v="LED100268"/>
    <d v="2023-11-12T00:00:00"/>
    <d v="2023-11-12T00:00:00"/>
    <n v="50"/>
    <n v="50"/>
    <n v="0"/>
    <n v="0"/>
    <s v="UPI/33165"/>
    <s v="UPI PAYMENT/33165"/>
    <x v="0"/>
    <s v="Exact amount + date + transaction type"/>
    <n v="95"/>
    <x v="0"/>
    <s v="No"/>
    <s v="No duplicate candidate"/>
  </r>
  <r>
    <s v="2893b10d-01cf-47ef-874a-94b8e5228b5c"/>
    <s v="LED100269"/>
    <d v="2023-11-12T00:00:00"/>
    <d v="2023-11-12T00:00:00"/>
    <n v="1500"/>
    <n v="1500"/>
    <n v="0"/>
    <n v="0"/>
    <s v="UPI/33167"/>
    <s v="UPI PAYMENT/33167"/>
    <x v="0"/>
    <s v="Exact amount + date + transaction type"/>
    <n v="95"/>
    <x v="0"/>
    <s v="No"/>
    <s v="No duplicate candidate"/>
  </r>
  <r>
    <s v="e2c705f9-beb3-4fb4-8c29-2a79c80e1523"/>
    <s v="LED100270"/>
    <d v="2023-11-13T00:00:00"/>
    <d v="2023-11-13T00:00:00"/>
    <n v="420"/>
    <n v="420"/>
    <n v="0"/>
    <n v="0"/>
    <s v="UPI/BHARATPE"/>
    <s v="UPI PAYMENT/BHARATPE"/>
    <x v="0"/>
    <s v="Exact amount + date + transaction type"/>
    <n v="95"/>
    <x v="0"/>
    <s v="No"/>
    <s v="No duplicate candidate"/>
  </r>
  <r>
    <s v="508c0536-4c4d-428c-85f9-3a72cf1b941f"/>
    <s v="LED100271"/>
    <d v="2023-11-13T00:00:00"/>
    <d v="2023-11-13T00:00:00"/>
    <n v="300"/>
    <n v="300"/>
    <n v="0"/>
    <n v="0"/>
    <s v="UPI/PAYTMnp"/>
    <s v="UPI PAYMENT/PAYTMNP"/>
    <x v="0"/>
    <s v="Exact amount + date + transaction type"/>
    <n v="95"/>
    <x v="0"/>
    <s v="No"/>
    <s v="No duplicate candidate"/>
  </r>
  <r>
    <s v="2dbc636c-ac81-4322-b587-ef23f2665eee"/>
    <s v="LED100272"/>
    <d v="2023-11-13T00:00:00"/>
    <d v="2023-11-13T00:00:00"/>
    <n v="500"/>
    <n v="500"/>
    <n v="0"/>
    <n v="0"/>
    <s v="UPI/PAYTMnp"/>
    <s v="UPI PAYMENT/PAYTMNP"/>
    <x v="0"/>
    <s v="Exact amount + date + transaction type"/>
    <n v="95"/>
    <x v="0"/>
    <s v="No"/>
    <s v="No duplicate candidate"/>
  </r>
  <r>
    <s v="de7e8802-ba29-422f-b0c5-db358c58cac4"/>
    <s v="LED100273"/>
    <d v="2023-11-14T00:00:00"/>
    <d v="2023-11-14T00:00:00"/>
    <n v="239"/>
    <n v="239"/>
    <n v="0"/>
    <n v="0"/>
    <s v="UPI/EURONETGPAY"/>
    <s v="UPI PAYMENT/EURONETGPAY"/>
    <x v="0"/>
    <s v="Exact amount + date + transaction type"/>
    <n v="95"/>
    <x v="0"/>
    <s v="No"/>
    <s v="No duplicate candidate"/>
  </r>
  <r>
    <s v="2f4a0006-8083-40fe-aad2-09fe6306597a"/>
    <s v="LED100274"/>
    <d v="2023-11-14T00:00:00"/>
    <d v="2023-11-14T00:00:00"/>
    <n v="1"/>
    <n v="1"/>
    <n v="0"/>
    <n v="0"/>
    <s v="UPI/33183"/>
    <s v="UPI PAYMENT/33183"/>
    <x v="1"/>
    <s v="Amount + type match with description similarity 100%"/>
    <n v="85"/>
    <x v="1"/>
    <s v="No"/>
    <s v="No duplicate candidate"/>
  </r>
  <r>
    <s v="d6f48b90-8c0a-479c-86ab-566a322b65c1"/>
    <s v="LED100275"/>
    <d v="2023-11-14T00:00:00"/>
    <d v="2023-11-14T00:00:00"/>
    <n v="1"/>
    <n v="1"/>
    <n v="0"/>
    <n v="0"/>
    <s v="UPI/33187P"/>
    <s v="UPI PAYMENT/33187P"/>
    <x v="0"/>
    <s v="Exact amount + date + transaction type"/>
    <n v="95"/>
    <x v="0"/>
    <s v="No"/>
    <s v="No duplicate candidate"/>
  </r>
  <r>
    <s v="0f82247c-fd15-4d2f-a6c5-cdcb72196f04"/>
    <s v="LED100276"/>
    <d v="2023-11-14T00:00:00"/>
    <d v="2023-11-14T00:00:00"/>
    <n v="37999"/>
    <n v="37999"/>
    <n v="0"/>
    <n v="0"/>
    <s v="UPI/33181"/>
    <s v="UPI PAYMENT/33181"/>
    <x v="0"/>
    <s v="Exact amount + date + transaction type"/>
    <n v="95"/>
    <x v="0"/>
    <s v="No"/>
    <s v="No duplicate candidate"/>
  </r>
  <r>
    <s v="ed150d32-b72f-41de-8175-54316abd8bc8"/>
    <s v="LED100277"/>
    <d v="2023-11-14T00:00:00"/>
    <d v="2023-11-14T00:00:00"/>
    <n v="1"/>
    <n v="1"/>
    <n v="0"/>
    <n v="0"/>
    <s v="UPI/PAYTMUP"/>
    <s v="UPI PAYMENT/PAYTMUP"/>
    <x v="0"/>
    <s v="Exact amount + date + transaction type"/>
    <n v="95"/>
    <x v="0"/>
    <s v="No"/>
    <s v="No duplicate candidate"/>
  </r>
  <r>
    <s v="6d29d619-312a-4bdc-9371-636828f19d5f"/>
    <s v="LED100278"/>
    <d v="2023-11-14T00:00:00"/>
    <d v="2023-11-14T00:00:00"/>
    <n v="16500"/>
    <n v="16500"/>
    <n v="0"/>
    <n v="0"/>
    <s v="UPI/PAYTMUP"/>
    <s v="UPI PAYMENT/PAYTMUP"/>
    <x v="0"/>
    <s v="Exact amount + date + transaction type"/>
    <n v="95"/>
    <x v="0"/>
    <s v="No"/>
    <s v="No duplicate candidate"/>
  </r>
  <r>
    <s v="afd49d96-1e4c-4fe9-9032-b46d7642c1bf"/>
    <s v="LED100279"/>
    <d v="2023-11-14T00:00:00"/>
    <d v="2023-11-14T00:00:00"/>
    <n v="2000"/>
    <n v="2000"/>
    <n v="0"/>
    <n v="0"/>
    <s v="UPI/33187"/>
    <s v="UPI PAYMENT/33187"/>
    <x v="0"/>
    <s v="Exact amount + date + transaction type"/>
    <n v="95"/>
    <x v="0"/>
    <s v="No"/>
    <s v="No duplicate candidate"/>
  </r>
  <r>
    <s v="6b25f87d-9dd5-485a-8edb-fe376d57e6d8"/>
    <s v="LED100280"/>
    <d v="2023-11-14T00:00:00"/>
    <d v="2023-11-14T00:00:00"/>
    <n v="340"/>
    <n v="340"/>
    <n v="0"/>
    <n v="0"/>
    <s v="UPI/PAYTM"/>
    <s v="UPI PAYMENT/PAYTM"/>
    <x v="0"/>
    <s v="Exact amount + date + transaction type"/>
    <n v="95"/>
    <x v="0"/>
    <s v="No"/>
    <s v="No duplicate candidate"/>
  </r>
  <r>
    <s v="0030a0d2-6a89-4426-8a0d-49e66a45c790"/>
    <s v="LED100281"/>
    <d v="2023-11-14T00:00:00"/>
    <d v="2023-11-14T00:00:00"/>
    <n v="80"/>
    <n v="80"/>
    <n v="0"/>
    <n v="0"/>
    <s v="UPI/33182"/>
    <s v="UPI PAYMENT/33182"/>
    <x v="0"/>
    <s v="Exact amount + date + transaction type"/>
    <n v="95"/>
    <x v="0"/>
    <s v="No"/>
    <s v="No duplicate candidate"/>
  </r>
  <r>
    <s v="4a9f3653-0a32-446f-9f4d-1e83cc6fbb2f"/>
    <s v="LED100282"/>
    <d v="2023-11-15T00:00:00"/>
    <d v="2023-11-15T00:00:00"/>
    <n v="2000"/>
    <n v="2000"/>
    <n v="0"/>
    <n v="0"/>
    <s v="UPI/3685/P"/>
    <s v="UPI PAYMENT/3685/P"/>
    <x v="1"/>
    <s v="Amount + type match with description similarity 100%"/>
    <n v="85"/>
    <x v="1"/>
    <s v="No"/>
    <s v="No duplicate candidate"/>
  </r>
  <r>
    <s v="b24e9c76-675a-4eb5-a092-da3db90ee063"/>
    <s v="LED100283"/>
    <d v="2023-11-15T00:00:00"/>
    <d v="2023-11-15T00:00:00"/>
    <n v="2000"/>
    <n v="2000"/>
    <n v="0"/>
    <n v="0"/>
    <s v="UPI/REVERSAL"/>
    <s v="UPI PAYMENT/REVERSAL"/>
    <x v="0"/>
    <s v="Exact amount + date + transaction type"/>
    <n v="95"/>
    <x v="0"/>
    <s v="No"/>
    <s v="No duplicate candidate"/>
  </r>
  <r>
    <s v="e8c02bab-2c7c-4299-bfa2-46ca27ac4a9c"/>
    <s v="LED100284"/>
    <d v="2023-11-15T00:00:00"/>
    <d v="2023-11-15T00:00:00"/>
    <n v="2000"/>
    <n v="2000"/>
    <n v="0"/>
    <n v="0"/>
    <s v="UPI/36856/"/>
    <s v="UPI PAYMENT/36856/"/>
    <x v="0"/>
    <s v="Exact amount + date + transaction type"/>
    <n v="95"/>
    <x v="0"/>
    <s v="No"/>
    <s v="No duplicate candidate"/>
  </r>
  <r>
    <s v="b30b1251-a428-4d2c-9764-cedbe09ab33a"/>
    <s v="LED100285"/>
    <d v="2023-11-15T00:00:00"/>
    <d v="2023-11-15T00:00:00"/>
    <n v="1"/>
    <n v="1"/>
    <n v="0"/>
    <n v="0"/>
    <s v="UPI/36857"/>
    <s v="UPI PAYMENT/36857"/>
    <x v="0"/>
    <s v="Exact amount + date + transaction type"/>
    <n v="95"/>
    <x v="0"/>
    <s v="No"/>
    <s v="No duplicate candidate"/>
  </r>
  <r>
    <s v="3d2ba381-c2df-42d5-b507-4bcc2bf44905"/>
    <s v="LED100286"/>
    <d v="2023-11-15T00:00:00"/>
    <d v="2023-11-15T00:00:00"/>
    <n v="10000"/>
    <n v="10000"/>
    <n v="0"/>
    <n v="0"/>
    <s v="UPI/36858"/>
    <s v="UPI PAYMENT/36858"/>
    <x v="0"/>
    <s v="Exact amount + date + transaction type"/>
    <n v="95"/>
    <x v="0"/>
    <s v="No"/>
    <s v="No duplicate candidate"/>
  </r>
  <r>
    <s v="887f429e-9db1-49e1-8707-4a5f39882b85"/>
    <s v="LED100287"/>
    <d v="2023-11-15T00:00:00"/>
    <d v="2023-11-15T00:00:00"/>
    <n v="500"/>
    <n v="500"/>
    <n v="0"/>
    <n v="0"/>
    <s v="UPI/33194"/>
    <s v="UPI PAYMENT/33194"/>
    <x v="0"/>
    <s v="Exact amount + date + transaction type"/>
    <n v="95"/>
    <x v="0"/>
    <s v="No"/>
    <s v="No duplicate candidate"/>
  </r>
  <r>
    <s v="470bc77a-380a-481f-abda-9434b0dbe745"/>
    <s v="LED100288"/>
    <d v="2023-11-15T00:00:00"/>
    <d v="2023-11-15T00:00:00"/>
    <n v="10"/>
    <n v="10"/>
    <n v="0"/>
    <n v="0"/>
    <s v="UPI/36853"/>
    <s v="UPI PAYMENT/36853"/>
    <x v="0"/>
    <s v="Exact amount + date + transaction type"/>
    <n v="95"/>
    <x v="0"/>
    <s v="No"/>
    <s v="No duplicate candidate"/>
  </r>
  <r>
    <s v="3b63ef24-de3c-49db-a7b4-c3eb758795b7"/>
    <s v="LED100289"/>
    <d v="2023-11-16T00:00:00"/>
    <d v="2023-11-16T00:00:00"/>
    <n v="1320"/>
    <n v="1320"/>
    <n v="0"/>
    <n v="0"/>
    <s v="NEFT"/>
    <s v="NEFT PAYMENT"/>
    <x v="0"/>
    <s v="Exact reference + amount + date + type"/>
    <n v="100"/>
    <x v="0"/>
    <s v="No"/>
    <s v="No duplicate candidate"/>
  </r>
  <r>
    <s v="bc58e33b-28f7-43fb-ab50-0dfddf2bf456"/>
    <s v="LED100290"/>
    <d v="2023-11-16T00:00:00"/>
    <d v="2023-11-16T00:00:00"/>
    <n v="400"/>
    <n v="400"/>
    <n v="0"/>
    <n v="0"/>
    <s v=""/>
    <s v=""/>
    <x v="0"/>
    <s v="Exact amount + date + transaction type"/>
    <n v="95"/>
    <x v="0"/>
    <s v="No"/>
    <s v="No duplicate candidate"/>
  </r>
  <r>
    <s v="30cd1f8b-6261-43db-b452-515447228351"/>
    <s v="LED100291"/>
    <d v="2023-11-16T00:00:00"/>
    <d v="2023-11-16T00:00:00"/>
    <n v="1000"/>
    <n v="1000"/>
    <n v="0"/>
    <n v="0"/>
    <s v="UPI/33200"/>
    <s v="UPI PAYMENT/33200"/>
    <x v="0"/>
    <s v="Exact amount + date + transaction type"/>
    <n v="95"/>
    <x v="0"/>
    <s v="No"/>
    <s v="No duplicate candidate"/>
  </r>
  <r>
    <s v="68f475c3-2160-4a3f-b897-06632242aa0c"/>
    <s v="LED100292"/>
    <d v="2023-11-16T00:00:00"/>
    <d v="2023-11-16T00:00:00"/>
    <n v="45000"/>
    <n v="45000"/>
    <n v="0"/>
    <n v="0"/>
    <s v="BY CASH"/>
    <s v="BY CASH TRANSACTION"/>
    <x v="0"/>
    <s v="Exact amount + date + transaction type"/>
    <n v="95"/>
    <x v="0"/>
    <s v="No"/>
    <s v="No duplicate candidate"/>
  </r>
  <r>
    <s v="f7c87c2d-5431-46df-89b7-25ce913627cc"/>
    <s v="LED100293"/>
    <d v="2023-11-17T00:00:00"/>
    <d v="2023-11-17T00:00:00"/>
    <n v="270"/>
    <n v="270"/>
    <n v="0"/>
    <n v="0"/>
    <s v="NEFT"/>
    <s v="NEFT PAYMENT"/>
    <x v="0"/>
    <s v="Exact reference + amount + date + type"/>
    <n v="100"/>
    <x v="0"/>
    <s v="No"/>
    <s v="No duplicate candidate"/>
  </r>
  <r>
    <s v="1f3bd603-8abe-4e04-9c9b-1361e37f52ad"/>
    <s v="LED100294"/>
    <d v="2023-11-17T00:00:00"/>
    <d v="2023-11-17T00:00:00"/>
    <n v="50"/>
    <n v="50"/>
    <n v="0"/>
    <n v="0"/>
    <s v="UPI/PAYTMwp"/>
    <s v="UPI PAYMENT/PAYTMWP"/>
    <x v="0"/>
    <s v="Exact amount + date + transaction type"/>
    <n v="95"/>
    <x v="0"/>
    <s v="No"/>
    <s v="No duplicate candidate"/>
  </r>
  <r>
    <s v="7d42455e-56a4-4198-8945-86451a4b337e"/>
    <s v="LED100295"/>
    <d v="2023-11-17T00:00:00"/>
    <d v="2023-11-17T00:00:00"/>
    <n v="2000"/>
    <n v="2000"/>
    <n v="0"/>
    <n v="0"/>
    <s v="UPI/36879"/>
    <s v="UPI PAYMENT/36879"/>
    <x v="0"/>
    <s v="Exact amount + date + transaction type"/>
    <n v="95"/>
    <x v="0"/>
    <s v="No"/>
    <s v="No duplicate candidate"/>
  </r>
  <r>
    <s v="a90254ac-1868-4bca-ac10-61964ac95367"/>
    <s v="LED100296"/>
    <d v="2023-11-17T00:00:00"/>
    <d v="2023-11-17T00:00:00"/>
    <n v="21000"/>
    <n v="21000"/>
    <n v="0"/>
    <n v="0"/>
    <s v="UPI/FASHIONEAZY"/>
    <s v="UPI PAYMENT/FASHIONEAZY"/>
    <x v="0"/>
    <s v="Exact amount + date + transaction type"/>
    <n v="95"/>
    <x v="0"/>
    <s v="No"/>
    <s v="No duplicate candidate"/>
  </r>
  <r>
    <s v="9e5ed584-6d6c-411a-9554-d1bb99972aa1"/>
    <s v="LED100297"/>
    <d v="2023-11-17T00:00:00"/>
    <d v="2023-11-17T00:00:00"/>
    <n v="5200"/>
    <n v="5200"/>
    <n v="0"/>
    <n v="0"/>
    <s v="UPI/36871"/>
    <s v="UPI PAYMENT/36871"/>
    <x v="0"/>
    <s v="Exact amount + date + transaction type"/>
    <n v="95"/>
    <x v="0"/>
    <s v="No"/>
    <s v="No duplicate candidate"/>
  </r>
  <r>
    <s v="d1af2bf6-4719-48f1-b8f1-c8bfe9352db6"/>
    <s v="LED100298"/>
    <d v="2023-11-18T00:00:00"/>
    <d v="2023-11-18T00:00:00"/>
    <n v="130"/>
    <n v="130"/>
    <n v="0"/>
    <n v="0"/>
    <s v="UPI/PAYTMwp"/>
    <s v="UPI PAYMENT/PAYTMWP"/>
    <x v="0"/>
    <s v="Exact amount + date + transaction type"/>
    <n v="95"/>
    <x v="0"/>
    <s v="No"/>
    <s v="No duplicate candidate"/>
  </r>
  <r>
    <s v="632b5bf8-f914-4f72-aa64-bb969d0fe81f"/>
    <s v="LED100299"/>
    <d v="2023-11-18T00:00:00"/>
    <d v="2023-11-18T00:00:00"/>
    <n v="300"/>
    <n v="300"/>
    <n v="0"/>
    <n v="0"/>
    <s v="UPI/36881"/>
    <s v="UPI PAYMENT/36881"/>
    <x v="0"/>
    <s v="Exact amount + date + transaction type"/>
    <n v="95"/>
    <x v="0"/>
    <s v="No"/>
    <s v="No duplicate candidate"/>
  </r>
  <r>
    <s v="f7df2e6a-503d-4549-874c-48105ad17f2f"/>
    <s v="LED100300"/>
    <d v="2023-11-19T00:00:00"/>
    <d v="2023-11-19T00:00:00"/>
    <n v="600"/>
    <n v="600"/>
    <n v="0"/>
    <n v="0"/>
    <s v="NEFT"/>
    <s v="NEFT PAYMENT"/>
    <x v="0"/>
    <s v="Exact reference + amount + date + type"/>
    <n v="100"/>
    <x v="0"/>
    <s v="No"/>
    <s v="No duplicate candidate"/>
  </r>
  <r>
    <s v="8b12d93f-d4f5-44c5-af6a-0fe30065dfe0"/>
    <s v="LED100301"/>
    <d v="2023-11-19T00:00:00"/>
    <d v="2023-11-19T00:00:00"/>
    <n v="1"/>
    <n v="1"/>
    <n v="0"/>
    <n v="0"/>
    <s v="UPI/PAYTMUP"/>
    <s v="UPI PAYMENT/PAYTMUP"/>
    <x v="0"/>
    <s v="Exact amount + date + transaction type"/>
    <n v="95"/>
    <x v="0"/>
    <s v="No"/>
    <s v="No duplicate candidate"/>
  </r>
  <r>
    <s v="505c9f34-fa46-4e80-8a63-ac7028b4d457"/>
    <s v="LED100302"/>
    <d v="2023-11-19T00:00:00"/>
    <d v="2023-11-19T00:00:00"/>
    <n v="499"/>
    <n v="499"/>
    <n v="0"/>
    <n v="0"/>
    <s v="UPI/PAYTMNA"/>
    <s v="UPI PAYMENT/PAYTMNA"/>
    <x v="0"/>
    <s v="Exact amount + date + transaction type"/>
    <n v="95"/>
    <x v="0"/>
    <s v="No"/>
    <s v="No duplicate candidate"/>
  </r>
  <r>
    <s v="00d2ee8e-c73f-4576-857a-8b86116fe288"/>
    <s v="LED100303"/>
    <d v="2023-11-19T00:00:00"/>
    <d v="2023-11-19T00:00:00"/>
    <n v="20"/>
    <n v="20"/>
    <n v="0"/>
    <n v="0"/>
    <s v="UPI/33234"/>
    <s v="UPI PAYMENT/33234"/>
    <x v="0"/>
    <s v="Exact amount + date + transaction type"/>
    <n v="95"/>
    <x v="0"/>
    <s v="No"/>
    <s v="No duplicate candidate"/>
  </r>
  <r>
    <s v="9eeac9a2-6f46-4520-a72d-26dbca54809e"/>
    <s v="LED100304"/>
    <d v="2023-11-20T00:00:00"/>
    <d v="2023-11-20T00:00:00"/>
    <n v="1700"/>
    <n v="1700"/>
    <n v="0"/>
    <n v="0"/>
    <s v="NEFT"/>
    <s v="NEFT PAYMENT"/>
    <x v="0"/>
    <s v="Exact reference + amount + date + type"/>
    <n v="100"/>
    <x v="0"/>
    <s v="No"/>
    <s v="No duplicate candidate"/>
  </r>
  <r>
    <s v="d949c756-f0da-47d8-886b-4a266349697a"/>
    <s v="LED100305"/>
    <d v="2023-11-20T00:00:00"/>
    <d v="2023-11-20T00:00:00"/>
    <n v="200"/>
    <n v="200"/>
    <n v="0"/>
    <n v="0"/>
    <s v="UPI/33249"/>
    <s v="UPI PAYMENT/33249"/>
    <x v="0"/>
    <s v="Exact amount + date + transaction type"/>
    <n v="95"/>
    <x v="0"/>
    <s v="No"/>
    <s v="No duplicate candidate"/>
  </r>
  <r>
    <s v="51274ee8-3f86-4bc9-a947-b05ad81f259c"/>
    <s v="LED100306"/>
    <d v="2023-11-20T00:00:00"/>
    <d v="2023-11-20T00:00:00"/>
    <n v="45"/>
    <n v="45"/>
    <n v="0"/>
    <n v="0"/>
    <s v="UPI/GPAY"/>
    <s v="UPI PAYMENT/GPAY"/>
    <x v="0"/>
    <s v="Exact amount + date + transaction type"/>
    <n v="95"/>
    <x v="0"/>
    <s v="No"/>
    <s v="No duplicate candidate"/>
  </r>
  <r>
    <s v="7e3d56df-580b-4b13-a0f4-b16c6e499532"/>
    <s v="LED100307"/>
    <d v="2023-11-21T00:00:00"/>
    <d v="2023-11-21T00:00:00"/>
    <n v="2200"/>
    <n v="2200"/>
    <n v="0"/>
    <n v="0"/>
    <s v="NEFT"/>
    <s v="NEFT PAYMENT"/>
    <x v="0"/>
    <s v="Exact reference + amount + date + type"/>
    <n v="100"/>
    <x v="0"/>
    <s v="No"/>
    <s v="No duplicate candidate"/>
  </r>
  <r>
    <s v="88ea01a6-5933-4b8c-a0ed-ce17118cbeb0"/>
    <s v="LED100308"/>
    <d v="2023-11-22T00:00:00"/>
    <d v="2023-11-22T00:00:00"/>
    <n v="1250"/>
    <n v="1250"/>
    <n v="0"/>
    <n v="0"/>
    <s v="NEFT"/>
    <s v="NEFT PAYMENT"/>
    <x v="0"/>
    <s v="Exact reference + amount + date + type"/>
    <n v="100"/>
    <x v="0"/>
    <s v="No"/>
    <s v="No duplicate candidate"/>
  </r>
  <r>
    <s v="4346b532-d4f4-4de4-aa8d-b39c03387390"/>
    <s v="LED100309"/>
    <d v="2023-11-22T00:00:00"/>
    <d v="2023-11-22T00:00:00"/>
    <n v="200"/>
    <n v="200"/>
    <n v="0"/>
    <n v="0"/>
    <s v="UPI/36921"/>
    <s v="UPI PAYMENT/36921"/>
    <x v="0"/>
    <s v="Exact amount + date + transaction type"/>
    <n v="95"/>
    <x v="0"/>
    <s v="No"/>
    <s v="No duplicate candidate"/>
  </r>
  <r>
    <s v="2cd53cf9-5848-4a2d-8bd7-30cc9846c0ee"/>
    <s v="LED100310"/>
    <d v="2023-11-22T00:00:00"/>
    <d v="2023-11-22T00:00:00"/>
    <n v="290"/>
    <n v="290"/>
    <n v="0"/>
    <n v="0"/>
    <s v="UPI/33267"/>
    <s v="UPI PAYMENT/33267"/>
    <x v="0"/>
    <s v="Exact amount + date + transaction type"/>
    <n v="95"/>
    <x v="0"/>
    <s v="No"/>
    <s v="No duplicate candidate"/>
  </r>
  <r>
    <s v="ac95c4fc-71ec-44e2-bf53-30a6c5e723ad"/>
    <s v="LED100311"/>
    <d v="2023-11-23T00:00:00"/>
    <d v="2023-11-23T00:00:00"/>
    <n v="350"/>
    <n v="350"/>
    <n v="0"/>
    <n v="0"/>
    <s v="NEFT"/>
    <s v="NEFT PAYMENT"/>
    <x v="0"/>
    <s v="Exact reference + amount + date + type"/>
    <n v="100"/>
    <x v="0"/>
    <s v="No"/>
    <s v="No duplicate candidate"/>
  </r>
  <r>
    <s v="5ff491fc-1e7f-48fd-a44f-32f9d5053b9f"/>
    <s v="LED100312"/>
    <d v="2023-11-23T00:00:00"/>
    <d v="2023-11-23T00:00:00"/>
    <n v="100"/>
    <n v="100"/>
    <n v="0"/>
    <n v="0"/>
    <s v="UPI/33279"/>
    <s v="UPI PAYMENT/33279"/>
    <x v="1"/>
    <s v="Amount + type match with description similarity 100%"/>
    <n v="85"/>
    <x v="1"/>
    <s v="No"/>
    <s v="No duplicate candidate"/>
  </r>
  <r>
    <s v="ad942ea9-d12b-48d0-9a0c-7c043724c06e"/>
    <s v="LED100313"/>
    <d v="2023-11-23T00:00:00"/>
    <d v="2023-11-23T00:00:00"/>
    <n v="100"/>
    <n v="100"/>
    <n v="0"/>
    <n v="0"/>
    <s v="UPI/36936"/>
    <s v="UPI PAYMENT/36936"/>
    <x v="0"/>
    <s v="Exact amount + date + transaction type"/>
    <n v="95"/>
    <x v="0"/>
    <s v="No"/>
    <s v="No duplicate candidate"/>
  </r>
  <r>
    <s v="343b62a0-8530-46dd-b4c2-7f4d87bff9fd"/>
    <s v="LED100314"/>
    <d v="2023-11-24T00:00:00"/>
    <d v="2023-11-24T00:00:00"/>
    <n v="1600"/>
    <n v="1600"/>
    <n v="0"/>
    <n v="0"/>
    <s v="NEFT"/>
    <s v="NEFT PAYMENT"/>
    <x v="0"/>
    <s v="Exact reference + amount + date + type"/>
    <n v="100"/>
    <x v="0"/>
    <s v="No"/>
    <s v="No duplicate candidate"/>
  </r>
  <r>
    <s v="cd342f20-d121-492e-a2ed-aecd75a71ea1"/>
    <s v="LED100315"/>
    <d v="2023-11-24T00:00:00"/>
    <d v="2023-11-24T00:00:00"/>
    <n v="10"/>
    <n v="10"/>
    <n v="0"/>
    <n v="0"/>
    <s v="UPI/36947"/>
    <s v="UPI PAYMENT/36947"/>
    <x v="0"/>
    <s v="Exact amount + date + transaction type"/>
    <n v="95"/>
    <x v="0"/>
    <s v="No"/>
    <s v="No duplicate candidate"/>
  </r>
  <r>
    <s v="ae0dd897-8e9e-43cf-9922-2f83f71defb0"/>
    <s v="LED100316"/>
    <d v="2023-11-24T00:00:00"/>
    <d v="2023-11-24T00:00:00"/>
    <n v="201"/>
    <n v="201"/>
    <n v="0"/>
    <n v="0"/>
    <s v="UPI/JIOINAPPDIRECT/"/>
    <s v="UPI PAYMENT/JIOINAPPDIRECT/"/>
    <x v="0"/>
    <s v="Exact amount + date + transaction type"/>
    <n v="95"/>
    <x v="0"/>
    <s v="No"/>
    <s v="No duplicate candidate"/>
  </r>
  <r>
    <s v="7434e1b8-a31a-4daf-a3f0-3d5bbd85a091"/>
    <s v="LED100317"/>
    <d v="2023-11-24T00:00:00"/>
    <d v="2023-11-24T00:00:00"/>
    <n v="60"/>
    <n v="60"/>
    <n v="0"/>
    <n v="0"/>
    <s v="UPI/33287"/>
    <s v="UPI PAYMENT/33287"/>
    <x v="0"/>
    <s v="Exact amount + date + transaction type"/>
    <n v="95"/>
    <x v="0"/>
    <s v="No"/>
    <s v="No duplicate candidate"/>
  </r>
  <r>
    <s v="64359bb5-001f-4d75-bf3f-5a0f7a83721d"/>
    <s v="LED100318"/>
    <d v="2023-11-25T00:00:00"/>
    <d v="2023-11-25T00:00:00"/>
    <n v="2200"/>
    <n v="2200"/>
    <n v="0"/>
    <n v="0"/>
    <s v="NEFT"/>
    <s v="NEFT PAYMENT"/>
    <x v="0"/>
    <s v="Exact reference + amount + date + type"/>
    <n v="100"/>
    <x v="0"/>
    <s v="No"/>
    <s v="No duplicate candidate"/>
  </r>
  <r>
    <s v="d7a24290-3f7c-4a0f-bb10-59a35cadf7a7"/>
    <s v="LED100319"/>
    <d v="2023-11-25T00:00:00"/>
    <d v="2023-11-25T00:00:00"/>
    <n v="241"/>
    <n v="241"/>
    <n v="0"/>
    <n v="0"/>
    <s v="UPI/AIRTELPREDIRECT"/>
    <s v="UPI PAYMENT/AIRTELPREDIRECT"/>
    <x v="0"/>
    <s v="Exact amount + date + transaction type"/>
    <n v="95"/>
    <x v="0"/>
    <s v="No"/>
    <s v="No duplicate candidate"/>
  </r>
  <r>
    <s v="36d89541-efdd-4969-8c7d-54fd6cbe178a"/>
    <s v="LED100320"/>
    <d v="2023-11-25T00:00:00"/>
    <d v="2023-11-27T00:00:00"/>
    <n v="200"/>
    <n v="200"/>
    <n v="0"/>
    <n v="2"/>
    <s v="UPI/33293"/>
    <s v="UPI PAYMENT/33293"/>
    <x v="3"/>
    <s v="Amount + type match, date difference 2 day(s), description similarity 100%"/>
    <n v="75"/>
    <x v="1"/>
    <s v="No"/>
    <s v="No duplicate candidate"/>
  </r>
  <r>
    <s v="1812fb87-0dd6-4172-9978-79aecbd5185e"/>
    <s v="LED100321"/>
    <d v="2023-11-26T00:00:00"/>
    <d v="2023-11-26T00:00:00"/>
    <n v="1070"/>
    <n v="1070"/>
    <n v="0"/>
    <n v="0"/>
    <s v="NEFT"/>
    <s v="NEFT PAYMENT"/>
    <x v="0"/>
    <s v="Exact reference + amount + date + type"/>
    <n v="100"/>
    <x v="0"/>
    <s v="No"/>
    <s v="No duplicate candidate"/>
  </r>
  <r>
    <s v="9c98e1bf-3fa4-4993-aec1-1b4a4e1ca220"/>
    <s v="LED100322"/>
    <d v="2023-11-26T00:00:00"/>
    <d v="2023-11-26T00:00:00"/>
    <n v="1"/>
    <n v="1"/>
    <n v="0"/>
    <n v="0"/>
    <s v="UPI/33308"/>
    <s v="UPI PAYMENT/33308"/>
    <x v="0"/>
    <s v="Exact amount + date + transaction type"/>
    <n v="95"/>
    <x v="0"/>
    <s v="No"/>
    <s v="No duplicate candidate"/>
  </r>
  <r>
    <s v="75635fc2-67a3-4539-8e05-ee1a20c78efa"/>
    <s v="LED100323"/>
    <d v="2023-11-26T00:00:00"/>
    <d v="2023-11-26T00:00:00"/>
    <n v="5000"/>
    <n v="5000"/>
    <n v="0"/>
    <n v="0"/>
    <s v="UPI/36963"/>
    <s v="UPI PAYMENT/36963"/>
    <x v="0"/>
    <s v="Exact amount + date + transaction type"/>
    <n v="95"/>
    <x v="0"/>
    <s v="No"/>
    <s v="No duplicate candidate"/>
  </r>
  <r>
    <s v="5fc5f6a6-d30c-4463-8f06-837284784066"/>
    <s v="LED100324"/>
    <d v="2023-11-27T00:00:00"/>
    <d v="2023-11-27T00:00:00"/>
    <n v="950"/>
    <n v="950"/>
    <n v="0"/>
    <n v="0"/>
    <s v="NEFT"/>
    <s v="NEFT PAYMENT"/>
    <x v="0"/>
    <s v="Exact reference + amount + date + type"/>
    <n v="100"/>
    <x v="0"/>
    <s v="No"/>
    <s v="No duplicate candidate"/>
  </r>
  <r>
    <s v="4e2ffce6-1f63-47fd-a074-7fff8772141a"/>
    <s v="LED100325"/>
    <d v="2023-11-27T00:00:00"/>
    <d v="2023-11-27T00:00:00"/>
    <n v="120"/>
    <n v="120"/>
    <n v="0"/>
    <n v="0"/>
    <s v="UPI/36978"/>
    <s v="UPI PAYMENT/36978"/>
    <x v="0"/>
    <s v="Exact amount + date + transaction type"/>
    <n v="95"/>
    <x v="0"/>
    <s v="No"/>
    <s v="No duplicate candidate"/>
  </r>
  <r>
    <s v="c166807b-bd8f-413c-8b0c-aa899e3a545d"/>
    <s v="LED100326"/>
    <d v="2023-11-27T00:00:00"/>
    <d v="2023-11-27T00:00:00"/>
    <n v="19"/>
    <n v="19"/>
    <n v="0"/>
    <n v="0"/>
    <s v="UPI/JIOINAPPDIRECT/"/>
    <s v="UPI PAYMENT/JIOINAPPDIRECT/"/>
    <x v="0"/>
    <s v="Exact amount + date + transaction type"/>
    <n v="95"/>
    <x v="0"/>
    <s v="No"/>
    <s v="No duplicate candidate"/>
  </r>
  <r>
    <s v="c1d1e376-af63-471a-abe7-4f035facf30d"/>
    <s v="LED100327"/>
    <d v="2023-11-28T00:00:00"/>
    <d v="2023-11-28T00:00:00"/>
    <n v="800"/>
    <n v="800"/>
    <n v="0"/>
    <n v="0"/>
    <s v="NEFT"/>
    <s v="NEFT PAYMENT"/>
    <x v="0"/>
    <s v="Exact reference + amount + date + type"/>
    <n v="100"/>
    <x v="0"/>
    <s v="No"/>
    <s v="No duplicate candidate"/>
  </r>
  <r>
    <s v="275017b6-a00e-486f-a7f3-e0fb19e98644"/>
    <s v="LED100328"/>
    <d v="2023-11-28T00:00:00"/>
    <d v="2023-11-28T00:00:00"/>
    <n v="100"/>
    <n v="100"/>
    <n v="0"/>
    <n v="0"/>
    <s v="UPI/3698"/>
    <s v="UPI PAYMENT/3698"/>
    <x v="0"/>
    <s v="Exact amount + date + transaction type"/>
    <n v="95"/>
    <x v="0"/>
    <s v="No"/>
    <s v="No duplicate candidate"/>
  </r>
  <r>
    <s v="c6e2ea68-9079-40f8-8b4e-a7d294b69741"/>
    <s v="LED100329"/>
    <d v="2023-11-28T00:00:00"/>
    <d v="2023-11-28T00:00:00"/>
    <n v="150"/>
    <n v="150"/>
    <n v="0"/>
    <n v="0"/>
    <s v="UPI/36989"/>
    <s v="UPI PAYMENT/36989"/>
    <x v="0"/>
    <s v="Exact amount + date + transaction type"/>
    <n v="95"/>
    <x v="0"/>
    <s v="No"/>
    <s v="No duplicate candidate"/>
  </r>
  <r>
    <s v="115e3d52-56c4-4f3b-9f87-6d8bfc0370e3"/>
    <s v="LED100330"/>
    <d v="2023-11-28T00:00:00"/>
    <d v="2023-11-28T00:00:00"/>
    <n v="19"/>
    <n v="19"/>
    <n v="0"/>
    <n v="0"/>
    <s v="UPI/EURONETGPAY"/>
    <s v="UPI PAYMENT/EURONETGPAY"/>
    <x v="0"/>
    <s v="Exact amount + date + transaction type"/>
    <n v="95"/>
    <x v="0"/>
    <s v="No"/>
    <s v="No duplicate candidate"/>
  </r>
  <r>
    <s v="5dcb09f6-be85-4846-8914-637047408ee6"/>
    <s v="LED100331"/>
    <d v="2023-11-29T00:00:00"/>
    <d v="2023-11-29T00:00:00"/>
    <n v="151"/>
    <n v="151"/>
    <n v="0"/>
    <n v="0"/>
    <s v="NEFT"/>
    <s v="NEFT PAYMENT"/>
    <x v="0"/>
    <s v="Exact reference + amount + date + type"/>
    <n v="100"/>
    <x v="0"/>
    <s v="No"/>
    <s v="No duplicate candidate"/>
  </r>
  <r>
    <s v="60c58e3b-a75f-4961-b0ee-96cbaa0ec2f8"/>
    <s v="LED100332"/>
    <d v="2023-11-29T00:00:00"/>
    <d v="2023-11-29T00:00:00"/>
    <n v="40"/>
    <n v="40"/>
    <n v="0"/>
    <n v="0"/>
    <s v="UPI/PAYTM"/>
    <s v="UPI PAYMENT/PAYTM"/>
    <x v="0"/>
    <s v="Exact amount + date + transaction type"/>
    <n v="95"/>
    <x v="0"/>
    <s v="No"/>
    <s v="No duplicate candidate"/>
  </r>
  <r>
    <s v="dfbb98e2-96b0-4992-aed0-acc3c73cd167"/>
    <s v="LED100333"/>
    <d v="2023-11-29T00:00:00"/>
    <d v="2023-11-29T00:00:00"/>
    <n v="19000"/>
    <n v="19000"/>
    <n v="0"/>
    <n v="0"/>
    <s v="UPI/33333"/>
    <s v="UPI PAYMENT/33333"/>
    <x v="0"/>
    <s v="Exact amount + date + transaction type"/>
    <n v="95"/>
    <x v="0"/>
    <s v="No"/>
    <s v="No duplicate candidate"/>
  </r>
  <r>
    <s v="fa3a4eef-62d7-4983-bec0-de57682a2351"/>
    <s v="LED100334"/>
    <d v="2023-11-29T00:00:00"/>
    <d v="2023-11-29T00:00:00"/>
    <n v="12700"/>
    <n v="12700"/>
    <n v="0"/>
    <n v="0"/>
    <s v="UPI/36992"/>
    <s v="UPI PAYMENT/36992"/>
    <x v="0"/>
    <s v="Exact amount + date + transaction type"/>
    <n v="95"/>
    <x v="0"/>
    <s v="No"/>
    <s v="No duplicate candidate"/>
  </r>
  <r>
    <s v="d0f14f9d-9547-4627-bb53-fa14e241b4f5"/>
    <s v="LED100335"/>
    <d v="2023-11-29T00:00:00"/>
    <d v="2023-11-29T00:00:00"/>
    <n v="100"/>
    <n v="100"/>
    <n v="0"/>
    <n v="0"/>
    <s v="UPI/33331"/>
    <s v="UPI PAYMENT/33331"/>
    <x v="0"/>
    <s v="Exact amount + date + transaction type"/>
    <n v="95"/>
    <x v="0"/>
    <s v="No"/>
    <s v="No duplicate candidate"/>
  </r>
  <r>
    <s v="6c302bab-ff0d-4507-ac15-bf2df72368f3"/>
    <s v="LED100336"/>
    <d v="2023-11-29T00:00:00"/>
    <d v="2023-11-29T00:00:00"/>
    <n v="1"/>
    <n v="1"/>
    <n v="0"/>
    <n v="0"/>
    <s v="UPI/36990"/>
    <s v="UPI PAYMENT/36990"/>
    <x v="1"/>
    <s v="Amount + type match with description similarity 100%"/>
    <n v="85"/>
    <x v="1"/>
    <s v="No"/>
    <s v="No duplicate candidate"/>
  </r>
  <r>
    <s v="95e029ef-d7fb-452e-bfd9-7a537166c523"/>
    <s v="LED100337"/>
    <d v="2023-11-29T00:00:00"/>
    <d v="2023-11-29T00:00:00"/>
    <n v="1"/>
    <n v="1"/>
    <n v="0"/>
    <n v="0"/>
    <s v="UPI/3699"/>
    <s v="UPI PAYMENT/3699"/>
    <x v="0"/>
    <s v="Exact amount + date + transaction type"/>
    <n v="95"/>
    <x v="0"/>
    <s v="No"/>
    <s v="No duplicate candidate"/>
  </r>
  <r>
    <s v="6743eb41-36cc-4ab6-ac49-2c1812d28960"/>
    <s v="LED100338"/>
    <d v="2023-11-29T00:00:00"/>
    <d v="2023-11-29T00:00:00"/>
    <n v="2000"/>
    <n v="2000"/>
    <n v="0"/>
    <n v="0"/>
    <s v="UPI/3699"/>
    <s v="UPI PAYMENT/3699"/>
    <x v="0"/>
    <s v="Exact amount + date + transaction type"/>
    <n v="95"/>
    <x v="0"/>
    <s v="No"/>
    <s v="No duplicate candidate"/>
  </r>
  <r>
    <s v="aad12703-8c25-4ce0-b63a-2a2bf2523f35"/>
    <s v="LED100339"/>
    <d v="2023-11-29T00:00:00"/>
    <d v="2023-11-29T00:00:00"/>
    <n v="90"/>
    <n v="90"/>
    <n v="0"/>
    <n v="0"/>
    <s v="UPI/PAYTMfp"/>
    <s v="UPI PAYMENT/PAYTMFP"/>
    <x v="0"/>
    <s v="Exact amount + date + transaction type"/>
    <n v="95"/>
    <x v="0"/>
    <s v="No"/>
    <s v="No duplicate candidate"/>
  </r>
  <r>
    <s v="3ff4cfb5-eec0-42e2-b00b-f2fb7d63416f"/>
    <s v="LED100472"/>
    <d v="2023-12-01T00:00:00"/>
    <d v="2024-01-16T00:00:00"/>
    <n v="1500"/>
    <n v="1500"/>
    <n v="0"/>
    <n v="46"/>
    <s v="NEFT"/>
    <s v="NEFT PAYMENT"/>
    <x v="1"/>
    <s v="Same amount + high description similarity 100% but date differs by 46 days"/>
    <n v="60"/>
    <x v="2"/>
    <s v="No"/>
    <s v="No duplicate candidate"/>
  </r>
  <r>
    <s v="bd4a809c-2513-455a-8eae-115c1ecb11de"/>
    <s v="LED100341"/>
    <d v="2023-12-01T00:00:00"/>
    <d v="2023-12-01T00:00:00"/>
    <n v="40"/>
    <n v="40"/>
    <n v="0"/>
    <n v="0"/>
    <s v="UPI/33357"/>
    <s v="UPI PAYMENT/33357"/>
    <x v="0"/>
    <s v="Exact amount + date + transaction type"/>
    <n v="95"/>
    <x v="0"/>
    <s v="No"/>
    <s v="No duplicate candidate"/>
  </r>
  <r>
    <s v="3de3b4c1-b1c2-49af-9a0a-6ba45e489cb5"/>
    <s v="LED100342"/>
    <d v="2023-12-01T00:00:00"/>
    <d v="2023-12-01T00:00:00"/>
    <n v="199"/>
    <n v="199"/>
    <n v="0"/>
    <n v="0"/>
    <s v="UPI/BILLDESKRECHARGE"/>
    <s v="UPI PAYMENT/BILLDESKRECHARGE"/>
    <x v="0"/>
    <s v="Exact amount + date + transaction type"/>
    <n v="95"/>
    <x v="0"/>
    <s v="No"/>
    <s v="No duplicate candidate"/>
  </r>
  <r>
    <s v="014c4796-9ad0-473d-83bb-357fcea8e152"/>
    <s v="LED100343"/>
    <d v="2023-12-01T00:00:00"/>
    <d v="2023-12-01T00:00:00"/>
    <n v="250"/>
    <n v="250"/>
    <n v="0"/>
    <n v="0"/>
    <s v="UPI/33354"/>
    <s v="UPI PAYMENT/33354"/>
    <x v="0"/>
    <s v="Exact amount + date + transaction type"/>
    <n v="95"/>
    <x v="0"/>
    <s v="No"/>
    <s v="No duplicate candidate"/>
  </r>
  <r>
    <s v="8a2f5e55-dfdd-427f-8870-0150f68cc498"/>
    <s v="LED100344"/>
    <d v="2023-12-02T00:00:00"/>
    <d v="2023-12-02T00:00:00"/>
    <n v="600"/>
    <n v="600"/>
    <n v="0"/>
    <n v="0"/>
    <s v="NEFT"/>
    <s v="NEFT PAYMENT"/>
    <x v="0"/>
    <s v="Exact reference + amount + date + type"/>
    <n v="100"/>
    <x v="0"/>
    <s v="No"/>
    <s v="No duplicate candidate"/>
  </r>
  <r>
    <s v="53009bee-6c73-4d5d-958f-b3258f552391"/>
    <s v="LED100345"/>
    <d v="2023-12-02T00:00:00"/>
    <d v="2023-12-02T00:00:00"/>
    <n v="500"/>
    <n v="500"/>
    <n v="0"/>
    <n v="0"/>
    <s v="UPI/3702"/>
    <s v="UPI PAYMENT/3702"/>
    <x v="0"/>
    <s v="Exact amount + date + transaction type"/>
    <n v="95"/>
    <x v="0"/>
    <s v="No"/>
    <s v="No duplicate candidate"/>
  </r>
  <r>
    <s v="b6c5da26-8ed8-49c5-ba4a-bf31127ce418"/>
    <s v="LED100346"/>
    <d v="2023-12-02T00:00:00"/>
    <d v="2023-12-02T00:00:00"/>
    <n v="40"/>
    <n v="40"/>
    <n v="0"/>
    <n v="0"/>
    <s v="UPI/33369"/>
    <s v="UPI PAYMENT/33369"/>
    <x v="0"/>
    <s v="Exact amount + date + transaction type"/>
    <n v="95"/>
    <x v="0"/>
    <s v="No"/>
    <s v="No duplicate candidate"/>
  </r>
  <r>
    <s v="67290c96-fe8b-44b2-9ab3-4c4b3b046cb7"/>
    <s v="LED100347"/>
    <d v="2023-12-03T00:00:00"/>
    <d v="2023-12-03T00:00:00"/>
    <n v="1450"/>
    <n v="1450"/>
    <n v="0"/>
    <n v="0"/>
    <s v="NEFT"/>
    <s v="NEFT PAYMENT"/>
    <x v="0"/>
    <s v="Exact reference + amount + date + type"/>
    <n v="100"/>
    <x v="0"/>
    <s v="No"/>
    <s v="No duplicate candidate"/>
  </r>
  <r>
    <s v="942d6886-8012-4678-93a2-b100cbd039f5"/>
    <s v=""/>
    <d v="2023-12-03T00:00:00"/>
    <m/>
    <n v="1000"/>
    <m/>
    <m/>
    <m/>
    <s v="UPI/3703"/>
    <s v=""/>
    <x v="2"/>
    <s v="No suitable ledger transaction found"/>
    <n v="0"/>
    <x v="2"/>
    <s v="No"/>
    <s v="No duplicate candidate"/>
  </r>
  <r>
    <s v="048a160c-23ad-481e-a0ff-578c6fa5691a"/>
    <s v="LED100349"/>
    <d v="2023-12-04T00:00:00"/>
    <d v="2023-12-04T00:00:00"/>
    <n v="900"/>
    <n v="900"/>
    <n v="0"/>
    <n v="0"/>
    <s v="NEFT"/>
    <s v="NEFT PAYMENT"/>
    <x v="0"/>
    <s v="Exact reference + amount + date + type"/>
    <n v="100"/>
    <x v="0"/>
    <s v="No"/>
    <s v="No duplicate candidate"/>
  </r>
  <r>
    <s v="7e563d6a-9bd2-4e92-98d6-d1d5198fcd77"/>
    <s v="LED100350"/>
    <d v="2023-12-04T00:00:00"/>
    <d v="2023-12-04T00:00:00"/>
    <n v="239"/>
    <n v="239"/>
    <n v="0"/>
    <n v="0"/>
    <s v="UPI/BILLDESKRECHARGE"/>
    <s v="UPI PAYMENT/BILLDESKRECHARGE"/>
    <x v="0"/>
    <s v="Exact amount + date + transaction type"/>
    <n v="95"/>
    <x v="0"/>
    <s v="No"/>
    <s v="No duplicate candidate"/>
  </r>
  <r>
    <s v="9cffe60a-004d-4301-be5d-65fec77679d4"/>
    <s v="LED100351"/>
    <d v="2023-12-04T00:00:00"/>
    <d v="2023-12-04T00:00:00"/>
    <n v="1550"/>
    <n v="1550"/>
    <n v="0"/>
    <n v="0"/>
    <s v="UPI/37044"/>
    <s v="UPI PAYMENT/37044"/>
    <x v="0"/>
    <s v="Exact amount + date + transaction type"/>
    <n v="95"/>
    <x v="0"/>
    <s v="No"/>
    <s v="No duplicate candidate"/>
  </r>
  <r>
    <s v="235cd63f-42dc-4c6c-937d-5edceea0515a"/>
    <s v="LED100352"/>
    <d v="2023-12-05T00:00:00"/>
    <d v="2023-12-05T00:00:00"/>
    <n v="7560"/>
    <n v="7560"/>
    <n v="0"/>
    <n v="0"/>
    <s v="NEFT"/>
    <s v="NEFT PAYMENT"/>
    <x v="0"/>
    <s v="Exact reference + amount + date + type"/>
    <n v="100"/>
    <x v="0"/>
    <s v="No"/>
    <s v="No duplicate candidate"/>
  </r>
  <r>
    <s v="fbcbe993-694a-41b5-af91-b8849e09696d"/>
    <s v="LED100353"/>
    <d v="2023-12-05T00:00:00"/>
    <d v="2023-12-05T00:00:00"/>
    <n v="60"/>
    <n v="61.2"/>
    <n v="1.2"/>
    <n v="0"/>
    <s v="UPI/PAYTM"/>
    <s v="UPI PAYMENT/PAYTM"/>
    <x v="4"/>
    <s v="Description similarity 100% but amount differs by ₹1.20"/>
    <n v="80"/>
    <x v="1"/>
    <s v="No"/>
    <s v="No duplicate candidate"/>
  </r>
  <r>
    <s v="069c0e2e-c49f-4381-b345-9fa78ad7005f"/>
    <s v="LED100354"/>
    <d v="2023-12-05T00:00:00"/>
    <d v="2023-12-05T00:00:00"/>
    <n v="13000"/>
    <n v="13000"/>
    <n v="0"/>
    <n v="0"/>
    <s v="UPI/BHARATPE"/>
    <s v="UPI PAYMENT/BHARATPE"/>
    <x v="0"/>
    <s v="Exact amount + date + transaction type"/>
    <n v="95"/>
    <x v="0"/>
    <s v="No"/>
    <s v="No duplicate candidate"/>
  </r>
  <r>
    <s v="9407b42d-53e7-482b-a58e-bace37332a4a"/>
    <s v="LED100355"/>
    <d v="2023-12-05T00:00:00"/>
    <d v="2023-12-05T00:00:00"/>
    <n v="200"/>
    <n v="200"/>
    <n v="0"/>
    <n v="0"/>
    <s v="UPI/33395"/>
    <s v="UPI PAYMENT/33395"/>
    <x v="0"/>
    <s v="Exact amount + date + transaction type"/>
    <n v="95"/>
    <x v="0"/>
    <s v="No"/>
    <s v="No duplicate candidate"/>
  </r>
  <r>
    <s v="8c80c555-956d-49d3-99f6-b69bf42fa411"/>
    <s v="LED100356"/>
    <d v="2023-12-06T00:00:00"/>
    <d v="2023-12-06T00:00:00"/>
    <n v="138"/>
    <n v="138"/>
    <n v="0"/>
    <n v="0"/>
    <s v="UPI/37063"/>
    <s v="UPI PAYMENT/37063"/>
    <x v="0"/>
    <s v="Exact amount + date + transaction type"/>
    <n v="95"/>
    <x v="0"/>
    <s v="No"/>
    <s v="No duplicate candidate"/>
  </r>
  <r>
    <s v="4840038d-9187-4690-9906-5e43c57e89e3"/>
    <s v="LED100357"/>
    <d v="2023-12-07T00:00:00"/>
    <d v="2023-12-07T00:00:00"/>
    <n v="150"/>
    <n v="150"/>
    <n v="0"/>
    <n v="0"/>
    <s v="UPI/3707"/>
    <s v="UPI PAYMENT/3707"/>
    <x v="0"/>
    <s v="Exact amount + date + transaction type"/>
    <n v="95"/>
    <x v="0"/>
    <s v="No"/>
    <s v="No duplicate candidate"/>
  </r>
  <r>
    <s v="6d952ab3-15ac-4eb6-8b62-a0359ab885b6"/>
    <s v="LED100358"/>
    <d v="2023-12-07T00:00:00"/>
    <d v="2023-12-07T00:00:00"/>
    <n v="18"/>
    <n v="18"/>
    <n v="0"/>
    <n v="0"/>
    <s v="UPI/33416"/>
    <s v="UPI PAYMENT/33416"/>
    <x v="0"/>
    <s v="Exact amount + date + transaction type"/>
    <n v="95"/>
    <x v="0"/>
    <s v="No"/>
    <s v="No duplicate candidate"/>
  </r>
  <r>
    <s v="c1bafebb-16c3-4b5f-a04f-84120657b604"/>
    <s v="LED100359"/>
    <d v="2023-12-07T00:00:00"/>
    <d v="2023-12-08T00:00:00"/>
    <n v="70"/>
    <n v="70"/>
    <n v="0"/>
    <n v="1"/>
    <s v="UPI/37071"/>
    <s v="UPI PAYMENT/37071"/>
    <x v="3"/>
    <s v="Amount + type match, date difference 1 day(s), description similarity 100%"/>
    <n v="80"/>
    <x v="1"/>
    <s v="No"/>
    <s v="No duplicate candidate"/>
  </r>
  <r>
    <s v="f440e241-295e-4d32-a083-38ba7ef51113"/>
    <s v="LED100360"/>
    <d v="2023-12-08T00:00:00"/>
    <d v="2023-12-08T00:00:00"/>
    <n v="1630"/>
    <n v="1630"/>
    <n v="0"/>
    <n v="0"/>
    <s v="NEFT"/>
    <s v="NEFT PAYMENT"/>
    <x v="0"/>
    <s v="Exact reference + amount + date + type"/>
    <n v="100"/>
    <x v="0"/>
    <s v="No"/>
    <s v="No duplicate candidate"/>
  </r>
  <r>
    <s v="a4235b82-f486-4a3e-b916-06be83f5f799"/>
    <s v="LED100361"/>
    <d v="2023-12-08T00:00:00"/>
    <d v="2023-12-08T00:00:00"/>
    <n v="40"/>
    <n v="40"/>
    <n v="0"/>
    <n v="0"/>
    <s v="UPI/GPAY"/>
    <s v="UPI PAYMENT/GPAY"/>
    <x v="1"/>
    <s v="Amount + type match with description similarity 100%"/>
    <n v="85"/>
    <x v="1"/>
    <s v="No"/>
    <s v="No duplicate candidate"/>
  </r>
  <r>
    <s v="2e3bed8e-65ec-4ea4-99ad-01a8874875d5"/>
    <s v="LED100362"/>
    <d v="2023-12-08T00:00:00"/>
    <d v="2023-12-08T00:00:00"/>
    <n v="35"/>
    <n v="35"/>
    <n v="0"/>
    <n v="0"/>
    <s v="UPI/PAYTMnp"/>
    <s v="UPI PAYMENT/PAYTMNP"/>
    <x v="0"/>
    <s v="Exact amount + date + transaction type"/>
    <n v="95"/>
    <x v="0"/>
    <s v="No"/>
    <s v="No duplicate candidate"/>
  </r>
  <r>
    <s v="3640935a-3ece-4d18-8870-c57f78152f20"/>
    <s v="LED100363"/>
    <d v="2023-12-09T00:00:00"/>
    <d v="2023-12-09T00:00:00"/>
    <n v="210"/>
    <n v="210"/>
    <n v="0"/>
    <n v="0"/>
    <s v="NEFT"/>
    <s v="NEFT PAYMENT"/>
    <x v="0"/>
    <s v="Exact reference + amount + date + type"/>
    <n v="100"/>
    <x v="0"/>
    <s v="No"/>
    <s v="No duplicate candidate"/>
  </r>
  <r>
    <s v="8ec29c92-1ba8-46a2-8d4f-a366ba1af469"/>
    <s v="LED100364"/>
    <d v="2023-12-09T00:00:00"/>
    <d v="2023-12-09T00:00:00"/>
    <n v="120"/>
    <n v="120"/>
    <n v="0"/>
    <n v="0"/>
    <s v="UPI/37090"/>
    <s v="UPI PAYMENT/37090"/>
    <x v="0"/>
    <s v="Exact amount + date + transaction type"/>
    <n v="95"/>
    <x v="0"/>
    <s v="No"/>
    <s v="No duplicate candidate"/>
  </r>
  <r>
    <s v="17e18e42-31d4-486a-8b20-992584eecf4f"/>
    <s v="LED100365"/>
    <d v="2023-12-09T00:00:00"/>
    <d v="2023-12-08T00:00:00"/>
    <n v="40"/>
    <n v="40"/>
    <n v="0"/>
    <n v="-1"/>
    <s v="UPI/33430"/>
    <s v="UPI PAYMENT/33430"/>
    <x v="3"/>
    <s v="Amount + type match, date difference 1 day(s), description similarity 100%"/>
    <n v="80"/>
    <x v="1"/>
    <s v="No"/>
    <s v="No duplicate candidate"/>
  </r>
  <r>
    <s v="dc1772d9-fcab-47f0-8577-4dfafb04b996"/>
    <s v="LED100366"/>
    <d v="2023-12-10T00:00:00"/>
    <d v="2023-12-10T00:00:00"/>
    <n v="450"/>
    <n v="450"/>
    <n v="0"/>
    <n v="0"/>
    <s v="NEFT"/>
    <s v="NEFT PAYMENT"/>
    <x v="0"/>
    <s v="Exact reference + amount + date + type"/>
    <n v="100"/>
    <x v="0"/>
    <s v="No"/>
    <s v="No duplicate candidate"/>
  </r>
  <r>
    <s v="8cd2ad3f-fa1b-4f03-8fc2-a4f280b5dc67"/>
    <s v="LED100367"/>
    <d v="2023-12-10T00:00:00"/>
    <d v="2023-12-10T00:00:00"/>
    <n v="10"/>
    <n v="10"/>
    <n v="0"/>
    <n v="0"/>
    <s v="UPI/3710"/>
    <s v="UPI PAYMENT/3710"/>
    <x v="0"/>
    <s v="Exact amount + date + transaction type"/>
    <n v="95"/>
    <x v="0"/>
    <s v="No"/>
    <s v="No duplicate candidate"/>
  </r>
  <r>
    <s v="acc4f7ef-860b-4467-a566-94afb81e865f"/>
    <s v="LED100368"/>
    <d v="2023-12-10T00:00:00"/>
    <d v="2023-12-10T00:00:00"/>
    <n v="5"/>
    <n v="5"/>
    <n v="0"/>
    <n v="0"/>
    <s v="UPI/37101-"/>
    <s v="UPI PAYMENT/37101-"/>
    <x v="0"/>
    <s v="Exact amount + date + transaction type"/>
    <n v="95"/>
    <x v="0"/>
    <s v="No"/>
    <s v="No duplicate candidate"/>
  </r>
  <r>
    <s v="8a6d2118-2ffb-4bf2-a909-bb18224dc396"/>
    <s v="LED100369"/>
    <d v="2023-12-11T00:00:00"/>
    <d v="2023-12-11T00:00:00"/>
    <n v="2300"/>
    <n v="2300"/>
    <n v="0"/>
    <n v="0"/>
    <s v="NEFT"/>
    <s v="NEFT PAYMENT"/>
    <x v="0"/>
    <s v="Exact reference + amount + date + type"/>
    <n v="100"/>
    <x v="0"/>
    <s v="No"/>
    <s v="No duplicate candidate"/>
  </r>
  <r>
    <s v="1525ce13-ba65-4d9c-9b70-512ff424ee7a"/>
    <s v="LED100370"/>
    <d v="2023-12-11T00:00:00"/>
    <d v="2023-12-11T00:00:00"/>
    <n v="30"/>
    <n v="30"/>
    <n v="0"/>
    <n v="0"/>
    <s v="UPI/33458"/>
    <s v="UPI PAYMENT/33458"/>
    <x v="0"/>
    <s v="Exact amount + date + transaction type"/>
    <n v="95"/>
    <x v="0"/>
    <s v="No"/>
    <s v="No duplicate candidate"/>
  </r>
  <r>
    <s v="824eedf2-cdec-4fa4-a64e-2571db8c400b"/>
    <s v="LED100371"/>
    <d v="2023-12-12T00:00:00"/>
    <d v="2023-12-12T00:00:00"/>
    <n v="400"/>
    <n v="400"/>
    <n v="0"/>
    <n v="0"/>
    <s v="NEFT"/>
    <s v="NEFT PAYMENT"/>
    <x v="0"/>
    <s v="Exact reference + amount + date + type"/>
    <n v="100"/>
    <x v="0"/>
    <s v="No"/>
    <s v="No duplicate candidate"/>
  </r>
  <r>
    <s v="8808c52c-487f-4c1a-a174-030cebd5dd51"/>
    <s v="LED100372"/>
    <d v="2023-12-12T00:00:00"/>
    <d v="2023-12-12T00:00:00"/>
    <n v="239"/>
    <n v="239"/>
    <n v="0"/>
    <n v="0"/>
    <s v="UPI/BILLDESKRECHARGE"/>
    <s v="UPI PAYMENT/BILLDESKRECHARGE"/>
    <x v="0"/>
    <s v="Exact amount + date + transaction type"/>
    <n v="95"/>
    <x v="0"/>
    <s v="No"/>
    <s v="No duplicate candidate"/>
  </r>
  <r>
    <s v="89d35324-ffed-4553-ae23-fe785440b61c"/>
    <s v="LED100373"/>
    <d v="2023-12-13T00:00:00"/>
    <d v="2023-12-13T00:00:00"/>
    <n v="2150"/>
    <n v="2150"/>
    <n v="0"/>
    <n v="0"/>
    <s v="NEFT"/>
    <s v="NEFT PAYMENT"/>
    <x v="0"/>
    <s v="Exact reference + amount + date + type"/>
    <n v="100"/>
    <x v="0"/>
    <s v="No"/>
    <s v="No duplicate candidate"/>
  </r>
  <r>
    <s v="a59ffb85-69d7-4c1d-b194-32d1c1d21160"/>
    <s v="LED100374"/>
    <d v="2023-12-13T00:00:00"/>
    <d v="2023-12-13T00:00:00"/>
    <n v="55"/>
    <n v="55"/>
    <n v="0"/>
    <n v="0"/>
    <s v="UPI/37133"/>
    <s v="UPI PAYMENT/37133"/>
    <x v="0"/>
    <s v="Exact amount + date + transaction type"/>
    <n v="95"/>
    <x v="0"/>
    <s v="No"/>
    <s v="No duplicate candidate"/>
  </r>
  <r>
    <s v="e5f9a203-43cf-45d0-9ee7-13b83ebc7c5a"/>
    <s v="LED100375"/>
    <d v="2023-12-13T00:00:00"/>
    <d v="2023-12-13T00:00:00"/>
    <n v="300"/>
    <n v="300"/>
    <n v="0"/>
    <n v="0"/>
    <s v="UPI/BHARATPE"/>
    <s v="UPI PAYMENT/BHARATPE"/>
    <x v="0"/>
    <s v="Exact amount + date + transaction type"/>
    <n v="95"/>
    <x v="0"/>
    <s v="No"/>
    <s v="No duplicate candidate"/>
  </r>
  <r>
    <s v="66ac8fe7-7c35-4ff3-afb1-42b4417e335c"/>
    <s v="LED100376"/>
    <d v="2023-12-13T00:00:00"/>
    <d v="2023-12-13T00:00:00"/>
    <n v="195"/>
    <n v="195"/>
    <n v="0"/>
    <n v="0"/>
    <s v="UPI/37136"/>
    <s v="UPI PAYMENT/37136"/>
    <x v="0"/>
    <s v="Exact amount + date + transaction type"/>
    <n v="95"/>
    <x v="0"/>
    <s v="No"/>
    <s v="No duplicate candidate"/>
  </r>
  <r>
    <s v="50944c66-968b-4497-83e0-e6851e0cc277"/>
    <s v="LED100377"/>
    <d v="2023-12-14T00:00:00"/>
    <d v="2023-12-14T00:00:00"/>
    <n v="550"/>
    <n v="550"/>
    <n v="0"/>
    <n v="0"/>
    <s v="NEFT"/>
    <s v="NEFT PAYMENT"/>
    <x v="0"/>
    <s v="Exact reference + amount + date + type"/>
    <n v="100"/>
    <x v="0"/>
    <s v="No"/>
    <s v="No duplicate candidate"/>
  </r>
  <r>
    <s v="eb6c2f3d-fda7-4f6e-b1b5-1da1e8c31e0c"/>
    <s v="LED100378"/>
    <d v="2023-12-14T00:00:00"/>
    <d v="2023-12-14T00:00:00"/>
    <n v="10"/>
    <n v="10"/>
    <n v="0"/>
    <n v="0"/>
    <s v="UPI/33481"/>
    <s v="UPI PAYMENT/33481"/>
    <x v="0"/>
    <s v="Exact amount + date + transaction type"/>
    <n v="95"/>
    <x v="0"/>
    <s v="No"/>
    <s v="No duplicate candidate"/>
  </r>
  <r>
    <s v="d2487a4d-ff70-479d-b733-e05dcc85e312"/>
    <s v="LED100379"/>
    <d v="2023-12-14T00:00:00"/>
    <d v="2023-12-14T00:00:00"/>
    <n v="2000"/>
    <n v="2000"/>
    <n v="0"/>
    <n v="0"/>
    <s v="UPI/37144"/>
    <s v="UPI PAYMENT/37144"/>
    <x v="0"/>
    <s v="Exact amount + date + transaction type"/>
    <n v="95"/>
    <x v="0"/>
    <s v="No"/>
    <s v="No duplicate candidate"/>
  </r>
  <r>
    <s v="da2103a4-9c9e-4c6a-85a1-52c3b4183238"/>
    <s v="LED100380"/>
    <d v="2023-12-15T00:00:00"/>
    <d v="2023-12-15T00:00:00"/>
    <n v="30"/>
    <n v="30"/>
    <n v="0"/>
    <n v="0"/>
    <s v="UPI/37157"/>
    <s v="UPI PAYMENT/37157"/>
    <x v="0"/>
    <s v="Exact amount + date + transaction type"/>
    <n v="95"/>
    <x v="0"/>
    <s v="No"/>
    <s v="No duplicate candidate"/>
  </r>
  <r>
    <s v="17ad766b-af37-40c5-b682-d7dcf5c477f0"/>
    <s v="LED100381"/>
    <d v="2023-12-16T00:00:00"/>
    <d v="2023-12-16T00:00:00"/>
    <n v="700"/>
    <n v="700"/>
    <n v="0"/>
    <n v="0"/>
    <s v="NEFT"/>
    <s v="NEFT PAYMENT"/>
    <x v="0"/>
    <s v="Exact reference + amount + date + type"/>
    <n v="100"/>
    <x v="0"/>
    <s v="No"/>
    <s v="No duplicate candidate"/>
  </r>
  <r>
    <s v="8bc13a32-b96d-48cc-b3f4-44347d2bfa51"/>
    <s v="LED100382"/>
    <d v="2023-12-16T00:00:00"/>
    <d v="2023-12-16T00:00:00"/>
    <n v="30"/>
    <n v="30"/>
    <n v="0"/>
    <n v="0"/>
    <s v="UPI/GPAY"/>
    <s v="UPI PAYMENT/GPAY"/>
    <x v="0"/>
    <s v="Exact amount + date + transaction type"/>
    <n v="95"/>
    <x v="0"/>
    <s v="No"/>
    <s v="No duplicate candidate"/>
  </r>
  <r>
    <s v="61394046-351b-4ec4-a76c-d22a1ce7a56e"/>
    <s v="LED100383"/>
    <d v="2023-12-16T00:00:00"/>
    <d v="2023-12-16T00:00:00"/>
    <n v="500"/>
    <n v="500"/>
    <n v="0"/>
    <n v="0"/>
    <s v="UPI/33502"/>
    <s v="UPI PAYMENT/33502"/>
    <x v="0"/>
    <s v="Exact amount + date + transaction type"/>
    <n v="95"/>
    <x v="0"/>
    <s v="No"/>
    <s v="No duplicate candidate"/>
  </r>
  <r>
    <s v="1cb1dd5c-9dcd-42b2-b64d-e346ef69d09d"/>
    <s v="LED100384"/>
    <d v="2023-12-17T00:00:00"/>
    <d v="2023-12-17T00:00:00"/>
    <n v="1100"/>
    <n v="1100"/>
    <n v="0"/>
    <n v="0"/>
    <s v="NEFT"/>
    <s v="NEFT PAYMENT"/>
    <x v="0"/>
    <s v="Exact reference + amount + date + type"/>
    <n v="100"/>
    <x v="0"/>
    <s v="No"/>
    <s v="No duplicate candidate"/>
  </r>
  <r>
    <s v="1bd57b7d-e4d7-4c38-ba41-4217b0e19660"/>
    <s v="LED100385"/>
    <d v="2023-12-17T00:00:00"/>
    <d v="2023-12-17T00:00:00"/>
    <n v="500"/>
    <n v="500"/>
    <n v="0"/>
    <n v="0"/>
    <s v="UPI/33518"/>
    <s v="UPI PAYMENT/33518"/>
    <x v="0"/>
    <s v="Exact amount + date + transaction type"/>
    <n v="95"/>
    <x v="0"/>
    <s v="No"/>
    <s v="No duplicate candidate"/>
  </r>
  <r>
    <s v="0012eaa8-368a-4e35-b3c0-a95b33e8cd96"/>
    <s v="LED100386"/>
    <d v="2023-12-17T00:00:00"/>
    <d v="2023-12-17T00:00:00"/>
    <n v="120"/>
    <n v="120"/>
    <n v="0"/>
    <n v="0"/>
    <s v="UPI/37176"/>
    <s v="UPI PAYMENT/37176"/>
    <x v="0"/>
    <s v="Exact amount + date + transaction type"/>
    <n v="95"/>
    <x v="0"/>
    <s v="No"/>
    <s v="No duplicate candidate"/>
  </r>
  <r>
    <s v="d435bb20-9bd2-414a-bf2c-5e4f55769f08"/>
    <s v="LED100387"/>
    <d v="2023-12-17T00:00:00"/>
    <d v="2023-12-17T00:00:00"/>
    <n v="20"/>
    <n v="20"/>
    <n v="0"/>
    <n v="0"/>
    <s v="UPI/33519"/>
    <s v="UPI PAYMENT/33519"/>
    <x v="0"/>
    <s v="Exact amount + date + transaction type"/>
    <n v="95"/>
    <x v="0"/>
    <s v="No"/>
    <s v="No duplicate candidate"/>
  </r>
  <r>
    <s v="738ed782-9779-4e4d-a0ff-018c97d91632"/>
    <s v="LED100388"/>
    <d v="2023-12-17T00:00:00"/>
    <d v="2023-12-17T00:00:00"/>
    <n v="30"/>
    <n v="30"/>
    <n v="0"/>
    <n v="0"/>
    <s v="UPI/3717"/>
    <s v="UPI PAYMENT/3717"/>
    <x v="0"/>
    <s v="Exact amount + date + transaction type"/>
    <n v="95"/>
    <x v="0"/>
    <s v="No"/>
    <s v="No duplicate candidate"/>
  </r>
  <r>
    <s v="2fac0273-e8a0-4ede-ba72-406f9b86361e"/>
    <s v="LED100389"/>
    <d v="2023-12-18T00:00:00"/>
    <d v="2023-12-18T00:00:00"/>
    <n v="1150"/>
    <n v="1150"/>
    <n v="0"/>
    <n v="0"/>
    <s v="NEFT"/>
    <s v="NEFT PAYMENT"/>
    <x v="0"/>
    <s v="Exact reference + amount + date + type"/>
    <n v="100"/>
    <x v="0"/>
    <s v="No"/>
    <s v="No duplicate candidate"/>
  </r>
  <r>
    <s v="74391594-4b0a-4e9d-8349-9bb8270850f0"/>
    <s v="LED100390"/>
    <d v="2023-12-18T00:00:00"/>
    <d v="2023-12-18T00:00:00"/>
    <n v="1300"/>
    <n v="1300"/>
    <n v="0"/>
    <n v="0"/>
    <s v="UPI/37185/"/>
    <s v="UPI PAYMENT/37185/"/>
    <x v="0"/>
    <s v="Exact amount + date + transaction type"/>
    <n v="95"/>
    <x v="0"/>
    <s v="No"/>
    <s v="No duplicate candidate"/>
  </r>
  <r>
    <s v="4d7c974b-2ebd-40b9-ab59-6fe7d3209753"/>
    <s v="LED100391"/>
    <d v="2023-12-18T00:00:00"/>
    <d v="2023-12-18T00:00:00"/>
    <n v="1820"/>
    <n v="1820"/>
    <n v="0"/>
    <n v="0"/>
    <s v="IMPS"/>
    <s v="IMPS PAYMENT"/>
    <x v="0"/>
    <s v="Exact amount + date + transaction type"/>
    <n v="95"/>
    <x v="0"/>
    <s v="No"/>
    <s v="No duplicate candidate"/>
  </r>
  <r>
    <s v="8b6884ea-2f8e-42e1-ab66-0145777135bb"/>
    <s v="LED100392"/>
    <d v="2023-12-19T00:00:00"/>
    <d v="2023-12-19T00:00:00"/>
    <n v="40"/>
    <n v="40"/>
    <n v="0"/>
    <n v="0"/>
    <s v="UPI/PAYTMgp"/>
    <s v="UPI PAYMENT/PAYTMGP"/>
    <x v="0"/>
    <s v="Exact amount + date + transaction type"/>
    <n v="95"/>
    <x v="0"/>
    <s v="No"/>
    <s v="No duplicate candidate"/>
  </r>
  <r>
    <s v="cab97d3e-5468-4e30-bbfd-3067cfb83384"/>
    <s v="LED100393"/>
    <d v="2023-12-19T00:00:00"/>
    <d v="2023-12-19T00:00:00"/>
    <n v="500"/>
    <n v="500"/>
    <n v="0"/>
    <n v="0"/>
    <s v="UPI/33535"/>
    <s v="UPI PAYMENT/33535"/>
    <x v="0"/>
    <s v="Exact amount + date + transaction type"/>
    <n v="95"/>
    <x v="0"/>
    <s v="No"/>
    <s v="No duplicate candidate"/>
  </r>
  <r>
    <s v="6c999f83-d09c-4d71-864f-64c31fde893a"/>
    <s v="LED100394"/>
    <d v="2023-12-19T00:00:00"/>
    <d v="2023-12-19T00:00:00"/>
    <n v="25"/>
    <n v="25"/>
    <n v="0"/>
    <n v="0"/>
    <s v="UPI/PAYTMvp"/>
    <s v="UPI PAYMENT/PAYTMVP"/>
    <x v="0"/>
    <s v="Exact amount + date + transaction type"/>
    <n v="95"/>
    <x v="0"/>
    <s v="No"/>
    <s v="No duplicate candidate"/>
  </r>
  <r>
    <s v="fa0a0894-4dbe-46d1-b601-aedc49fd803a"/>
    <s v="LED100395"/>
    <d v="2023-12-20T00:00:00"/>
    <d v="2023-12-20T00:00:00"/>
    <n v="1100"/>
    <n v="1100"/>
    <n v="0"/>
    <n v="0"/>
    <s v="NEFT"/>
    <s v="NEFT PAYMENT"/>
    <x v="0"/>
    <s v="Exact reference + amount + date + type"/>
    <n v="100"/>
    <x v="0"/>
    <s v="No"/>
    <s v="No duplicate candidate"/>
  </r>
  <r>
    <s v="27da12ab-450e-4b8c-b7e2-34e090da6f25"/>
    <s v="LED100396"/>
    <d v="2023-12-20T00:00:00"/>
    <d v="2023-12-20T00:00:00"/>
    <n v="900"/>
    <n v="900"/>
    <n v="0"/>
    <n v="0"/>
    <s v="UPI/37208"/>
    <s v="UPI PAYMENT/37208"/>
    <x v="0"/>
    <s v="Exact amount + date + transaction type"/>
    <n v="95"/>
    <x v="0"/>
    <s v="No"/>
    <s v="No duplicate candidate"/>
  </r>
  <r>
    <s v="e24aee89-6149-4ac9-89eb-76eb8503c08d"/>
    <s v="LED100397"/>
    <d v="2023-12-21T00:00:00"/>
    <d v="2023-12-21T00:00:00"/>
    <n v="1176"/>
    <n v="1175.51"/>
    <n v="0"/>
    <n v="0"/>
    <s v="NEFT"/>
    <s v="NEFT PAYMENT"/>
    <x v="0"/>
    <s v="Exact reference + amount + date + type"/>
    <n v="100"/>
    <x v="0"/>
    <s v="No"/>
    <s v="No duplicate candidate"/>
  </r>
  <r>
    <s v="d06f3238-931b-4299-87a6-0fed0b5c1ce1"/>
    <s v="LED100398"/>
    <d v="2023-12-21T00:00:00"/>
    <d v="2023-12-21T00:00:00"/>
    <n v="300"/>
    <n v="300"/>
    <n v="0"/>
    <n v="0"/>
    <s v=""/>
    <s v=""/>
    <x v="0"/>
    <s v="Exact amount + date + transaction type"/>
    <n v="95"/>
    <x v="0"/>
    <s v="No"/>
    <s v="No duplicate candidate"/>
  </r>
  <r>
    <s v="1dca6210-82bd-4786-888d-eab1f5510d35"/>
    <s v="LED100399"/>
    <d v="2023-12-21T00:00:00"/>
    <d v="2023-12-21T00:00:00"/>
    <n v="500"/>
    <n v="490"/>
    <n v="-10"/>
    <n v="0"/>
    <s v="UPI/37210"/>
    <s v="UPI PAYMENT/37210"/>
    <x v="4"/>
    <s v="Description similarity 100% but amount differs by ₹10.00"/>
    <n v="80"/>
    <x v="1"/>
    <s v="No"/>
    <s v="No duplicate candidate"/>
  </r>
  <r>
    <s v="a4ed9eb6-61da-4cf5-ae2b-c82f01d92ae5"/>
    <s v="LED100400"/>
    <d v="2023-12-22T00:00:00"/>
    <d v="2023-12-22T00:00:00"/>
    <n v="2440"/>
    <n v="2440"/>
    <n v="0"/>
    <n v="0"/>
    <s v="NEFT"/>
    <s v="NEFT PAYMENT"/>
    <x v="0"/>
    <s v="Exact reference + amount + date + type"/>
    <n v="100"/>
    <x v="0"/>
    <s v="No"/>
    <s v="No duplicate candidate"/>
  </r>
  <r>
    <s v="ad3456cf-708e-42c3-a4ab-0e1b010b78ba"/>
    <s v="LED100401"/>
    <d v="2023-12-22T00:00:00"/>
    <d v="2023-12-22T00:00:00"/>
    <n v="30"/>
    <n v="30"/>
    <n v="0"/>
    <n v="0"/>
    <s v="UPI/37227"/>
    <s v="UPI PAYMENT/37227"/>
    <x v="0"/>
    <s v="Exact amount + date + transaction type"/>
    <n v="95"/>
    <x v="0"/>
    <s v="No"/>
    <s v="No duplicate candidate"/>
  </r>
  <r>
    <s v="f8d5c5ec-f06b-4077-ab4a-d9654f079fdd"/>
    <s v="LED100402"/>
    <d v="2023-12-22T00:00:00"/>
    <d v="2023-12-22T00:00:00"/>
    <n v="25"/>
    <n v="25"/>
    <n v="0"/>
    <n v="0"/>
    <s v="UPI/37226"/>
    <s v="UPI PAYMENT/37226"/>
    <x v="0"/>
    <s v="Exact amount + date + transaction type"/>
    <n v="95"/>
    <x v="0"/>
    <s v="No"/>
    <s v="No duplicate candidate"/>
  </r>
  <r>
    <s v="bb67ffaf-673e-4001-88a8-3fe5525e8547"/>
    <s v="LED100403"/>
    <d v="2023-12-23T00:00:00"/>
    <d v="2023-12-23T00:00:00"/>
    <n v="2730"/>
    <n v="2730"/>
    <n v="0"/>
    <n v="0"/>
    <s v="NEFT"/>
    <s v="NEFT PAYMENT"/>
    <x v="0"/>
    <s v="Exact amount + date + transaction type"/>
    <n v="95"/>
    <x v="0"/>
    <s v="No"/>
    <s v="No duplicate candidate"/>
  </r>
  <r>
    <s v="78842830-5518-49e4-98d7-1d18237b8900"/>
    <s v="LED100404"/>
    <d v="2023-12-23T00:00:00"/>
    <d v="2023-12-24T00:00:00"/>
    <n v="241"/>
    <n v="240.9"/>
    <n v="0"/>
    <n v="1"/>
    <s v="UPI/EURONETGPAY"/>
    <s v="UPI PAYMENT/EURONETGPAY"/>
    <x v="3"/>
    <s v="Amount + type match, date difference 1 day(s), description similarity 100%"/>
    <n v="80"/>
    <x v="1"/>
    <s v="No"/>
    <s v="No duplicate candidate"/>
  </r>
  <r>
    <s v="1379293d-e6de-490d-a4c8-c8ccbc222f55"/>
    <s v="LED100405"/>
    <d v="2023-12-23T00:00:00"/>
    <d v="2023-12-23T00:00:00"/>
    <n v="15"/>
    <n v="15"/>
    <n v="0"/>
    <n v="0"/>
    <s v="UPI/GPAYBILLREACHARGE"/>
    <s v="UPI PAYMENT/GPAYBILLREACHARGE"/>
    <x v="0"/>
    <s v="Exact amount + date + transaction type"/>
    <n v="95"/>
    <x v="0"/>
    <s v="No"/>
    <s v="No duplicate candidate"/>
  </r>
  <r>
    <s v="c4c402ee-91b0-4c1b-b343-cd5d4b6ad4b4"/>
    <s v="LED100406"/>
    <d v="2023-12-24T00:00:00"/>
    <d v="2023-12-24T00:00:00"/>
    <n v="800"/>
    <n v="800"/>
    <n v="0"/>
    <n v="0"/>
    <s v="NEFT"/>
    <s v="NEFT PAYMENT"/>
    <x v="0"/>
    <s v="Exact reference + amount + date + type"/>
    <n v="100"/>
    <x v="0"/>
    <s v="No"/>
    <s v="No duplicate candidate"/>
  </r>
  <r>
    <s v="11492697-fa31-47ab-a78d-cc61497d4aa5"/>
    <s v="LED100407"/>
    <d v="2023-12-24T00:00:00"/>
    <d v="2023-12-24T00:00:00"/>
    <n v="55"/>
    <n v="55"/>
    <n v="0"/>
    <n v="0"/>
    <s v="UPI/37249"/>
    <s v="UPI PAYMENT/37249"/>
    <x v="0"/>
    <s v="Exact amount + date + transaction type"/>
    <n v="95"/>
    <x v="0"/>
    <s v="No"/>
    <s v="No duplicate candidate"/>
  </r>
  <r>
    <s v="66741393-18f7-4753-9623-6b0e092077eb"/>
    <s v="LED100408"/>
    <d v="2023-12-24T00:00:00"/>
    <d v="2023-12-24T00:00:00"/>
    <n v="3000"/>
    <n v="3000"/>
    <n v="0"/>
    <n v="0"/>
    <s v="UPI/33584"/>
    <s v="UPI PAYMENT/33584"/>
    <x v="0"/>
    <s v="Exact amount + date + transaction type"/>
    <n v="95"/>
    <x v="0"/>
    <s v="No"/>
    <s v="No duplicate candidate"/>
  </r>
  <r>
    <s v="5028b245-0d4b-4efc-afb5-167c28362579"/>
    <s v="LED100409"/>
    <d v="2023-12-24T00:00:00"/>
    <d v="2023-12-24T00:00:00"/>
    <n v="500"/>
    <n v="500"/>
    <n v="0"/>
    <n v="0"/>
    <s v="UPI/33586"/>
    <s v="UPI PAYMENT/33586"/>
    <x v="1"/>
    <s v="Amount + type match with description similarity 100%"/>
    <n v="85"/>
    <x v="1"/>
    <s v="No"/>
    <s v="No duplicate candidate"/>
  </r>
  <r>
    <s v="852f4b65-53cf-40b6-96c7-d6fd5175cbae"/>
    <s v="LED100410"/>
    <d v="2023-12-24T00:00:00"/>
    <d v="2023-12-24T00:00:00"/>
    <n v="500"/>
    <n v="500"/>
    <n v="0"/>
    <n v="0"/>
    <s v="UPI/37240"/>
    <s v="UPI PAYMENT/37240"/>
    <x v="0"/>
    <s v="Exact amount + date + transaction type"/>
    <n v="95"/>
    <x v="0"/>
    <s v="No"/>
    <s v="No duplicate candidate"/>
  </r>
  <r>
    <s v="4fbf0fac-deec-4188-a05b-35cbf08cef1a"/>
    <s v="LED100411"/>
    <d v="2023-12-24T00:00:00"/>
    <d v="2023-12-24T00:00:00"/>
    <n v="100"/>
    <n v="100"/>
    <n v="0"/>
    <n v="0"/>
    <s v="UPI/BHARATPE6"/>
    <s v="UPI PAYMENT/BHARATPE6"/>
    <x v="0"/>
    <s v="Exact amount + date + transaction type"/>
    <n v="95"/>
    <x v="0"/>
    <s v="No"/>
    <s v="No duplicate candidate"/>
  </r>
  <r>
    <s v="a95a11cb-13da-4251-87ba-0e756e454568"/>
    <s v="LED100412"/>
    <d v="2023-12-25T00:00:00"/>
    <d v="2023-12-25T00:00:00"/>
    <n v="1000"/>
    <n v="1000"/>
    <n v="0"/>
    <n v="0"/>
    <s v="UPI/37256"/>
    <s v="UPI PAYMENT/37256"/>
    <x v="0"/>
    <s v="Exact amount + date + transaction type"/>
    <n v="95"/>
    <x v="0"/>
    <s v="No"/>
    <s v="No duplicate candidate"/>
  </r>
  <r>
    <s v="0023242d-1db9-4e07-8220-f9641e53f407"/>
    <s v="LED100413"/>
    <d v="2023-12-25T00:00:00"/>
    <d v="2023-12-25T00:00:00"/>
    <n v="700"/>
    <n v="700"/>
    <n v="0"/>
    <n v="0"/>
    <s v="UPI/33597"/>
    <s v="UPI PAYMENT/33597"/>
    <x v="0"/>
    <s v="Exact amount + date + transaction type"/>
    <n v="95"/>
    <x v="0"/>
    <s v="No"/>
    <s v="No duplicate candidate"/>
  </r>
  <r>
    <s v="5b80c7f9-951b-438f-952c-47221d453adb"/>
    <s v="LED100414"/>
    <d v="2023-12-25T00:00:00"/>
    <d v="2023-12-25T00:00:00"/>
    <n v="1"/>
    <n v="1"/>
    <n v="0"/>
    <n v="0"/>
    <s v="UPI/33592/goog-payment"/>
    <s v="UPI PAYMENT/33592/GOOG-PAYMENT"/>
    <x v="0"/>
    <s v="Exact amount + date + transaction type"/>
    <n v="95"/>
    <x v="0"/>
    <s v="No"/>
    <s v="No duplicate candidate"/>
  </r>
  <r>
    <s v="9ccad65c-9862-4d10-9f9b-7d23080cb7b1"/>
    <s v="LED100415"/>
    <d v="2023-12-25T00:00:00"/>
    <d v="2023-12-25T00:00:00"/>
    <n v="2400"/>
    <n v="2400"/>
    <n v="0"/>
    <n v="0"/>
    <s v="UPI/33594"/>
    <s v="UPI PAYMENT/33594"/>
    <x v="0"/>
    <s v="Exact amount + date + transaction type"/>
    <n v="95"/>
    <x v="0"/>
    <s v="No"/>
    <s v="No duplicate candidate"/>
  </r>
  <r>
    <s v="180cf57a-a5c1-499f-b244-c1a7f947fd02"/>
    <s v="LED100416"/>
    <d v="2023-12-25T00:00:00"/>
    <d v="2023-12-25T00:00:00"/>
    <n v="2520"/>
    <n v="2520"/>
    <n v="0"/>
    <n v="0"/>
    <s v="UPI/37252"/>
    <s v="UPI PAYMENT/37252"/>
    <x v="0"/>
    <s v="Exact amount + date + transaction type"/>
    <n v="95"/>
    <x v="0"/>
    <s v="No"/>
    <s v="No duplicate candidate"/>
  </r>
  <r>
    <s v="88dc08eb-4d59-49dd-b0aa-e78d9add4e2c"/>
    <s v="LED100417"/>
    <d v="2023-12-26T00:00:00"/>
    <d v="2023-12-26T00:00:00"/>
    <n v="850"/>
    <n v="850"/>
    <n v="0"/>
    <n v="0"/>
    <s v="NEFT"/>
    <s v="NEFT PAYMENT"/>
    <x v="0"/>
    <s v="Exact reference + amount + date + type"/>
    <n v="100"/>
    <x v="0"/>
    <s v="No"/>
    <s v="No duplicate candidate"/>
  </r>
  <r>
    <s v="1e037adf-c2e8-49c6-a9f7-2b73bbdc34cc"/>
    <s v="LED100418"/>
    <d v="2023-12-27T00:00:00"/>
    <d v="2023-12-27T00:00:00"/>
    <n v="200"/>
    <n v="200"/>
    <n v="0"/>
    <n v="0"/>
    <s v="NEFT"/>
    <s v="NEFT PAYMENT"/>
    <x v="0"/>
    <s v="Exact reference + amount + date + type"/>
    <n v="100"/>
    <x v="0"/>
    <s v="No"/>
    <s v="No duplicate candidate"/>
  </r>
  <r>
    <s v="639e951c-916f-4215-953c-97d751ce6ed8"/>
    <s v="LED100419"/>
    <d v="2023-12-27T00:00:00"/>
    <d v="2023-12-27T00:00:00"/>
    <n v="241"/>
    <n v="240.9"/>
    <n v="0"/>
    <n v="0"/>
    <s v="UPI/EURONETGPAY"/>
    <s v="UPI PAYMENT/EURONETGPAY"/>
    <x v="0"/>
    <s v="Exact amount + date + transaction type"/>
    <n v="95"/>
    <x v="0"/>
    <s v="No"/>
    <s v="No duplicate candidate"/>
  </r>
  <r>
    <s v="24c9cfcd-9ea9-411f-85df-98faebff3b25"/>
    <s v="LED100420"/>
    <d v="2023-12-27T00:00:00"/>
    <d v="2023-12-27T00:00:00"/>
    <n v="5000"/>
    <n v="5000"/>
    <n v="0"/>
    <n v="0"/>
    <s v="UPI/33610"/>
    <s v="UPI PAYMENT/33610"/>
    <x v="0"/>
    <s v="Exact amount + date + transaction type"/>
    <n v="95"/>
    <x v="0"/>
    <s v="No"/>
    <s v="No duplicate candidate"/>
  </r>
  <r>
    <s v="9a3605e0-3524-4ec7-83da-85fb7675ebb9"/>
    <s v="LED100421"/>
    <d v="2023-12-27T00:00:00"/>
    <d v="2023-12-27T00:00:00"/>
    <n v="500"/>
    <n v="500"/>
    <n v="0"/>
    <n v="0"/>
    <s v="UPI/37273"/>
    <s v="UPI PAYMENT/37273"/>
    <x v="0"/>
    <s v="Exact amount + date + transaction type"/>
    <n v="95"/>
    <x v="0"/>
    <s v="No"/>
    <s v="No duplicate candidate"/>
  </r>
  <r>
    <s v="193526b9-3727-4792-94a4-db19dd9f5ea7"/>
    <s v="LED100422"/>
    <d v="2023-12-27T00:00:00"/>
    <d v="2023-12-27T00:00:00"/>
    <n v="500"/>
    <n v="475"/>
    <n v="-25"/>
    <n v="0"/>
    <s v="UPI/33613"/>
    <s v="UPI PAYMENT/33613"/>
    <x v="4"/>
    <s v="Description similarity 100% but amount differs by ₹25.00"/>
    <n v="80"/>
    <x v="1"/>
    <s v="No"/>
    <s v="No duplicate candidate"/>
  </r>
  <r>
    <s v="7f1d2a75-1a8b-436a-be96-06bb383a7153"/>
    <s v="LED100423"/>
    <d v="2023-12-27T00:00:00"/>
    <d v="2023-12-27T00:00:00"/>
    <n v="15"/>
    <n v="15"/>
    <n v="0"/>
    <n v="0"/>
    <s v="UPI/3727"/>
    <s v="UPI PAYMENT/3727"/>
    <x v="0"/>
    <s v="Exact amount + date + transaction type"/>
    <n v="95"/>
    <x v="0"/>
    <s v="No"/>
    <s v="No duplicate candidate"/>
  </r>
  <r>
    <s v="862ad5d8-cf18-4308-a3e6-4c7bc06c34df"/>
    <s v="LED100424"/>
    <d v="2023-12-28T00:00:00"/>
    <d v="2023-12-28T00:00:00"/>
    <n v="228"/>
    <n v="228"/>
    <n v="0"/>
    <n v="0"/>
    <s v="NEFT"/>
    <s v="NEFT PAYMENT"/>
    <x v="0"/>
    <s v="Exact reference + amount + date + type"/>
    <n v="100"/>
    <x v="0"/>
    <s v="No"/>
    <s v="No duplicate candidate"/>
  </r>
  <r>
    <s v="6bc28a65-1437-4c07-aa79-c9b563bc5265"/>
    <s v="LED100425"/>
    <d v="2023-12-28T00:00:00"/>
    <d v="2023-12-28T00:00:00"/>
    <n v="20"/>
    <n v="20"/>
    <n v="0"/>
    <n v="0"/>
    <s v="UPI/3728"/>
    <s v="UPI PAYMENT/3728"/>
    <x v="0"/>
    <s v="Exact amount + date + transaction type"/>
    <n v="95"/>
    <x v="0"/>
    <s v="No"/>
    <s v="No duplicate candidate"/>
  </r>
  <r>
    <s v="62254c56-0884-4f06-bf06-2bc1264348b3"/>
    <s v="LED100426"/>
    <d v="2023-12-29T00:00:00"/>
    <d v="2023-12-29T00:00:00"/>
    <n v="550"/>
    <n v="550"/>
    <n v="0"/>
    <n v="0"/>
    <s v="NEFT"/>
    <s v="NEFT PAYMENT"/>
    <x v="0"/>
    <s v="Exact reference + amount + date + type"/>
    <n v="100"/>
    <x v="0"/>
    <s v="No"/>
    <s v="No duplicate candidate"/>
  </r>
  <r>
    <s v="237a72cd-64e9-4ae3-92a1-c7eba58fa216"/>
    <s v=""/>
    <d v="2023-12-29T00:00:00"/>
    <m/>
    <n v="10"/>
    <m/>
    <m/>
    <m/>
    <s v="UPI/3729"/>
    <s v=""/>
    <x v="2"/>
    <s v="No suitable ledger transaction found"/>
    <n v="0"/>
    <x v="2"/>
    <s v="No"/>
    <s v="No duplicate candidate"/>
  </r>
  <r>
    <s v="62202a0c-8ad2-4b14-ac71-f60b6d75f61e"/>
    <s v="LED100428"/>
    <d v="2023-12-30T00:00:00"/>
    <d v="2023-12-30T00:00:00"/>
    <n v="500"/>
    <n v="500"/>
    <n v="0"/>
    <n v="0"/>
    <s v="UPI/33647"/>
    <s v="UPI PAYMENT/33647"/>
    <x v="0"/>
    <s v="Exact amount + date + transaction type"/>
    <n v="95"/>
    <x v="0"/>
    <s v="No"/>
    <s v="No duplicate candidate"/>
  </r>
  <r>
    <s v="4137df5c-c8b0-4f8c-b0ff-a0618ab05e36"/>
    <s v="LED100429"/>
    <d v="2023-12-30T00:00:00"/>
    <d v="2023-12-30T00:00:00"/>
    <n v="78"/>
    <n v="79.56"/>
    <n v="1.56"/>
    <n v="0"/>
    <s v="UPI/3730"/>
    <s v="UPI PAYMENT/3730"/>
    <x v="4"/>
    <s v="Description similarity 100% but amount differs by ₹1.56"/>
    <n v="80"/>
    <x v="1"/>
    <s v="No"/>
    <s v="No duplicate candidate"/>
  </r>
  <r>
    <s v="aa0dcff2-c956-46a6-96ce-efbdf01d5d9b"/>
    <s v="LED100430"/>
    <d v="2023-12-31T00:00:00"/>
    <d v="2023-12-31T00:00:00"/>
    <n v="1059"/>
    <n v="1059"/>
    <n v="0"/>
    <n v="0"/>
    <s v="NEFT"/>
    <s v="NEFT PAYMENT"/>
    <x v="0"/>
    <s v="Exact reference + amount + date + type"/>
    <n v="100"/>
    <x v="0"/>
    <s v="No"/>
    <s v="No duplicate candidate"/>
  </r>
  <r>
    <s v="55476aac-ad49-4aaf-84b8-95c06cfe2b22"/>
    <s v="LED100431"/>
    <d v="2023-12-31T00:00:00"/>
    <d v="2023-12-31T00:00:00"/>
    <n v="700"/>
    <n v="700"/>
    <n v="0"/>
    <n v="0"/>
    <s v="UPI/3731"/>
    <s v="UPI PAYMENT/3731"/>
    <x v="0"/>
    <s v="Exact amount + date + transaction type"/>
    <n v="95"/>
    <x v="0"/>
    <s v="No"/>
    <s v="No duplicate candidate"/>
  </r>
  <r>
    <s v="e5c67e48-2712-413e-a53d-6dd9996e11ae"/>
    <s v="LED100432"/>
    <d v="2024-01-01T00:00:00"/>
    <d v="2024-01-01T00:00:00"/>
    <n v="250"/>
    <n v="250"/>
    <n v="0"/>
    <n v="0"/>
    <s v="NEFT"/>
    <s v="NEFT PAYMENT"/>
    <x v="0"/>
    <s v="Exact reference + amount + date + type"/>
    <n v="100"/>
    <x v="0"/>
    <s v="No"/>
    <s v="No duplicate candidate"/>
  </r>
  <r>
    <s v="b20c5a06-a9ec-4f85-b905-f5f595851a46"/>
    <s v="LED100433"/>
    <d v="2024-01-01T00:00:00"/>
    <d v="2024-01-01T00:00:00"/>
    <n v="5000"/>
    <n v="5000"/>
    <n v="0"/>
    <n v="0"/>
    <s v="UPI/4367"/>
    <s v="UPI PAYMENT/4367"/>
    <x v="0"/>
    <s v="Exact amount + date + transaction type"/>
    <n v="95"/>
    <x v="0"/>
    <s v="No"/>
    <s v="No duplicate candidate"/>
  </r>
  <r>
    <s v="2996bcc7-9f66-4df3-8e7c-09a8fa75163a"/>
    <s v="LED100434"/>
    <d v="2024-01-01T00:00:00"/>
    <d v="2024-01-01T00:00:00"/>
    <n v="900"/>
    <n v="900"/>
    <n v="0"/>
    <n v="0"/>
    <s v="IMPS"/>
    <s v="IMPS PAYMENT"/>
    <x v="0"/>
    <s v="Exact amount + date + transaction type"/>
    <n v="95"/>
    <x v="0"/>
    <s v="No"/>
    <s v="No duplicate candidate"/>
  </r>
  <r>
    <s v="45bd7eda-edf6-4d6a-abef-ca41658bb597"/>
    <s v="LED100435"/>
    <d v="2024-01-01T00:00:00"/>
    <d v="2024-01-01T00:00:00"/>
    <n v="1720"/>
    <n v="1720"/>
    <n v="0"/>
    <n v="0"/>
    <s v="UPI/43677"/>
    <s v="UPI PAYMENT/43677"/>
    <x v="0"/>
    <s v="Exact amount + date + transaction type"/>
    <n v="95"/>
    <x v="0"/>
    <s v="No"/>
    <s v="No duplicate candidate"/>
  </r>
  <r>
    <s v="198742d6-1048-43de-aa4e-41cc27c472e0"/>
    <s v="LED100436"/>
    <d v="2024-01-01T00:00:00"/>
    <d v="2024-01-01T00:00:00"/>
    <n v="120"/>
    <n v="120"/>
    <n v="0"/>
    <n v="0"/>
    <s v="UPI/40013/"/>
    <s v="UPI PAYMENT/40013/"/>
    <x v="0"/>
    <s v="Exact amount + date + transaction type"/>
    <n v="95"/>
    <x v="0"/>
    <s v="No"/>
    <s v="No duplicate candidate"/>
  </r>
  <r>
    <s v="c15cb3cc-f7f3-4876-a2d1-55bbdea480f0"/>
    <s v="LED100437"/>
    <d v="2024-01-01T00:00:00"/>
    <d v="2024-01-01T00:00:00"/>
    <n v="3375"/>
    <n v="3375"/>
    <n v="0"/>
    <n v="0"/>
    <s v="UPI/43672"/>
    <s v="UPI PAYMENT/43672"/>
    <x v="0"/>
    <s v="Exact amount + date + transaction type"/>
    <n v="95"/>
    <x v="0"/>
    <s v="No"/>
    <s v="No duplicate candidate"/>
  </r>
  <r>
    <s v="cf816ca2-9fc0-4e43-b8ce-6e8a8f22211c"/>
    <s v="LED100438"/>
    <d v="2024-01-02T00:00:00"/>
    <d v="2024-01-02T00:00:00"/>
    <n v="500"/>
    <n v="500"/>
    <n v="0"/>
    <n v="0"/>
    <s v="UPI/43681"/>
    <s v="UPI PAYMENT/43681"/>
    <x v="0"/>
    <s v="Exact amount + date + transaction type"/>
    <n v="95"/>
    <x v="0"/>
    <s v="No"/>
    <s v="No duplicate candidate"/>
  </r>
  <r>
    <s v="8ee308dd-abf8-4647-a620-446e808ed0ef"/>
    <s v="LED100439"/>
    <d v="2024-01-02T00:00:00"/>
    <d v="2024-01-02T00:00:00"/>
    <n v="60"/>
    <n v="60"/>
    <n v="0"/>
    <n v="0"/>
    <s v="UPI/43683"/>
    <s v="UPI PAYMENT/43683"/>
    <x v="0"/>
    <s v="Exact amount + date + transaction type"/>
    <n v="95"/>
    <x v="0"/>
    <s v="No"/>
    <s v="No duplicate candidate"/>
  </r>
  <r>
    <s v="451c2fc7-caaa-43e6-a9d9-f1fef5f04fd5"/>
    <s v="LED100440"/>
    <d v="2024-01-02T00:00:00"/>
    <d v="2024-01-02T00:00:00"/>
    <n v="250"/>
    <n v="250"/>
    <n v="0"/>
    <n v="0"/>
    <s v="UPI/43685"/>
    <s v="UPI PAYMENT/43685"/>
    <x v="0"/>
    <s v="Exact amount + date + transaction type"/>
    <n v="95"/>
    <x v="0"/>
    <s v="No"/>
    <s v="No duplicate candidate"/>
  </r>
  <r>
    <s v="5d37f0e9-2445-4da1-8f90-9db6918dffb7"/>
    <s v="LED100441"/>
    <d v="2024-01-03T00:00:00"/>
    <d v="2024-01-03T00:00:00"/>
    <n v="70"/>
    <n v="70"/>
    <n v="0"/>
    <n v="0"/>
    <s v="NEFT"/>
    <s v="NEFT PAYMENT"/>
    <x v="0"/>
    <s v="Exact reference + amount + date + type"/>
    <n v="100"/>
    <x v="0"/>
    <s v="No"/>
    <s v="No duplicate candidate"/>
  </r>
  <r>
    <s v="5f4d9d8c-ad15-4521-a4ef-78ce8a7bc41f"/>
    <s v="LED100442"/>
    <d v="2024-01-03T00:00:00"/>
    <d v="2024-01-03T00:00:00"/>
    <n v="20"/>
    <n v="20"/>
    <n v="0"/>
    <n v="0"/>
    <s v="UPI/43699"/>
    <s v="UPI PAYMENT/43699"/>
    <x v="0"/>
    <s v="Exact amount + date + transaction type"/>
    <n v="95"/>
    <x v="0"/>
    <s v="No"/>
    <s v="No duplicate candidate"/>
  </r>
  <r>
    <s v="1862c07d-6102-47a5-8cfe-9be7d7ac500f"/>
    <s v="LED100443"/>
    <d v="2024-01-04T00:00:00"/>
    <d v="2024-01-04T00:00:00"/>
    <n v="600"/>
    <n v="600"/>
    <n v="0"/>
    <n v="0"/>
    <s v="NEFT"/>
    <s v="NEFT PAYMENT"/>
    <x v="0"/>
    <s v="Exact reference + amount + date + type"/>
    <n v="100"/>
    <x v="0"/>
    <s v="No"/>
    <s v="No duplicate candidate"/>
  </r>
  <r>
    <s v="f7cdffdc-88ab-4e12-a0cd-fc8afb8cedcf"/>
    <s v="LED100444"/>
    <d v="2024-01-04T00:00:00"/>
    <d v="2024-01-04T00:00:00"/>
    <n v="1500"/>
    <n v="1500"/>
    <n v="0"/>
    <n v="0"/>
    <s v="UPI/BHARATPE"/>
    <s v="UPI PAYMENT/BHARATPE"/>
    <x v="0"/>
    <s v="Exact amount + date + transaction type"/>
    <n v="95"/>
    <x v="0"/>
    <s v="No"/>
    <s v="No duplicate candidate"/>
  </r>
  <r>
    <s v="ab016bb8-dfba-4171-8adf-2e4737c99d8b"/>
    <s v="LED100445"/>
    <d v="2024-01-04T00:00:00"/>
    <d v="2024-01-04T00:00:00"/>
    <n v="241"/>
    <n v="241"/>
    <n v="0"/>
    <n v="0"/>
    <s v="UPI/JIOINAPPDIRECT/"/>
    <s v="UPI PAYMENT/JIOINAPPDIRECT/"/>
    <x v="0"/>
    <s v="Exact amount + date + transaction type"/>
    <n v="95"/>
    <x v="0"/>
    <s v="No"/>
    <s v="No duplicate candidate"/>
  </r>
  <r>
    <s v="1115107b-8f3c-4048-a6bf-cd73d8ca2315"/>
    <s v="LED100446"/>
    <d v="2024-01-06T00:00:00"/>
    <d v="2024-01-06T00:00:00"/>
    <n v="550"/>
    <n v="550"/>
    <n v="0"/>
    <n v="0"/>
    <s v="NEFT"/>
    <s v="NEFT PAYMENT"/>
    <x v="0"/>
    <s v="Exact reference + amount + date + type"/>
    <n v="100"/>
    <x v="0"/>
    <s v="No"/>
    <s v="No duplicate candidate"/>
  </r>
  <r>
    <s v="4d94c4b0-086b-4f5c-a7c7-fd861ef2a2f6"/>
    <s v="LED100447"/>
    <d v="2024-01-06T00:00:00"/>
    <d v="2024-01-06T00:00:00"/>
    <n v="1500"/>
    <n v="1500"/>
    <n v="0"/>
    <n v="0"/>
    <s v="UPI/PAYTMUP"/>
    <s v="UPI PAYMENT/PAYTMUP"/>
    <x v="0"/>
    <s v="Exact amount + date + transaction type"/>
    <n v="95"/>
    <x v="0"/>
    <s v="No"/>
    <s v="No duplicate candidate"/>
  </r>
  <r>
    <s v="ce4a5a75-f6f6-469f-a474-6af88d46068a"/>
    <s v="LED100448"/>
    <d v="2024-01-08T00:00:00"/>
    <d v="2024-01-08T00:00:00"/>
    <n v="2100"/>
    <n v="2100"/>
    <n v="0"/>
    <n v="0"/>
    <s v="NEFT"/>
    <s v="NEFT PAYMENT"/>
    <x v="0"/>
    <s v="Exact reference + amount + date + type"/>
    <n v="100"/>
    <x v="0"/>
    <s v="No"/>
    <s v="No duplicate candidate"/>
  </r>
  <r>
    <s v="f8d997e5-7366-4a8f-bdd2-db5f3255c418"/>
    <s v="LED100449"/>
    <d v="2024-01-08T00:00:00"/>
    <d v="2024-01-08T00:00:00"/>
    <n v="500"/>
    <n v="500"/>
    <n v="0"/>
    <n v="0"/>
    <s v="UPI/43747/"/>
    <s v="UPI PAYMENT/43747/"/>
    <x v="1"/>
    <s v="Amount + type match with description similarity 100%"/>
    <n v="85"/>
    <x v="1"/>
    <s v="No"/>
    <s v="No duplicate candidate"/>
  </r>
  <r>
    <s v="714a7169-2cb5-4d1b-b862-26ee6df6534f"/>
    <s v="LED100450"/>
    <d v="2024-01-08T00:00:00"/>
    <d v="2024-01-08T00:00:00"/>
    <n v="500"/>
    <n v="500"/>
    <n v="0"/>
    <n v="0"/>
    <s v="UPI/40084/"/>
    <s v="UPI PAYMENT/40084/"/>
    <x v="0"/>
    <s v="Exact amount + date + transaction type"/>
    <n v="95"/>
    <x v="0"/>
    <s v="No"/>
    <s v="No duplicate candidate"/>
  </r>
  <r>
    <s v="ea3b8828-50eb-4c18-826d-badcc15f5f44"/>
    <s v="LED100451"/>
    <d v="2024-01-08T00:00:00"/>
    <d v="2024-01-08T00:00:00"/>
    <n v="200"/>
    <n v="200"/>
    <n v="0"/>
    <n v="0"/>
    <s v="UPI/40086/"/>
    <s v="UPI PAYMENT/40086/"/>
    <x v="0"/>
    <s v="Exact amount + date + transaction type"/>
    <n v="95"/>
    <x v="0"/>
    <s v="No"/>
    <s v="No duplicate candidate"/>
  </r>
  <r>
    <s v="04a2fd59-6e28-4bea-841b-eb19416faace"/>
    <s v="LED100452"/>
    <d v="2024-01-09T00:00:00"/>
    <d v="2024-01-09T00:00:00"/>
    <n v="241"/>
    <n v="240.9"/>
    <n v="0"/>
    <n v="0"/>
    <s v="UPI/EURONETGPAY"/>
    <s v="UPI PAYMENT/EURONETGPAY"/>
    <x v="0"/>
    <s v="Exact amount + date + transaction type"/>
    <n v="95"/>
    <x v="0"/>
    <s v="No"/>
    <s v="No duplicate candidate"/>
  </r>
  <r>
    <s v="0bf5340d-2711-4f50-971d-0f218701732f"/>
    <s v="LED100453"/>
    <d v="2024-01-09T00:00:00"/>
    <d v="2024-01-09T00:00:00"/>
    <n v="15"/>
    <n v="15"/>
    <n v="0"/>
    <n v="0"/>
    <s v="UPI/GPAYBILLREACHARGE"/>
    <s v="UPI PAYMENT/GPAYBILLREACHARGE"/>
    <x v="0"/>
    <s v="Exact amount + date + transaction type"/>
    <n v="95"/>
    <x v="0"/>
    <s v="No"/>
    <s v="No duplicate candidate"/>
  </r>
  <r>
    <s v="02fb796f-83a5-4935-bd8a-94a2d5545f0c"/>
    <s v="LED100454"/>
    <d v="2024-01-09T00:00:00"/>
    <d v="2024-01-09T00:00:00"/>
    <n v="300"/>
    <n v="300"/>
    <n v="0"/>
    <n v="0"/>
    <s v="UPI/GPAY"/>
    <s v="UPI PAYMENT/GPAY"/>
    <x v="0"/>
    <s v="Exact amount + date + transaction type"/>
    <n v="95"/>
    <x v="0"/>
    <s v="No"/>
    <s v="No duplicate candidate"/>
  </r>
  <r>
    <s v="264fc9ff-d326-4ff3-b453-23596ce53c7a"/>
    <s v="LED100455"/>
    <d v="2024-01-10T00:00:00"/>
    <d v="2024-01-10T00:00:00"/>
    <n v="790"/>
    <n v="790"/>
    <n v="0"/>
    <n v="0"/>
    <s v="NEFT"/>
    <s v="NEFT PAYMENT"/>
    <x v="0"/>
    <s v="Exact reference + amount + date + type"/>
    <n v="100"/>
    <x v="0"/>
    <s v="No"/>
    <s v="No duplicate candidate"/>
  </r>
  <r>
    <s v="fefda690-3a17-4220-83c2-9efa5f59b365"/>
    <s v="LED100456"/>
    <d v="2024-01-10T00:00:00"/>
    <d v="2024-01-10T00:00:00"/>
    <n v="500"/>
    <n v="500"/>
    <n v="0"/>
    <n v="0"/>
    <s v="UPI/40101"/>
    <s v="UPI PAYMENT/40101"/>
    <x v="0"/>
    <s v="Exact amount + date + transaction type"/>
    <n v="95"/>
    <x v="0"/>
    <s v="No"/>
    <s v="No duplicate candidate"/>
  </r>
  <r>
    <s v="70b8c222-792d-4db2-a7b4-f1922e0ac67b"/>
    <s v="LED100457"/>
    <d v="2024-01-10T00:00:00"/>
    <d v="2024-01-10T00:00:00"/>
    <n v="140"/>
    <n v="140"/>
    <n v="0"/>
    <n v="0"/>
    <s v="UPI/40108"/>
    <s v="UPI PAYMENT/40108"/>
    <x v="0"/>
    <s v="Exact amount + date + transaction type"/>
    <n v="95"/>
    <x v="0"/>
    <s v="No"/>
    <s v="No duplicate candidate"/>
  </r>
  <r>
    <s v="acf395c0-4bf7-4767-8821-e0a099972b69"/>
    <s v="LED100458"/>
    <d v="2024-01-10T00:00:00"/>
    <d v="2024-01-10T00:00:00"/>
    <n v="1"/>
    <n v="1"/>
    <n v="0"/>
    <n v="0"/>
    <s v="UPI/4376"/>
    <s v="UPI PAYMENT/4376"/>
    <x v="0"/>
    <s v="Exact amount + date + transaction type"/>
    <n v="95"/>
    <x v="0"/>
    <s v="No"/>
    <s v="No duplicate candidate"/>
  </r>
  <r>
    <s v="ed0cd356-1ae5-43f4-8178-c22ff9fe61ed"/>
    <s v="LED100459"/>
    <d v="2024-01-10T00:00:00"/>
    <d v="2024-01-10T00:00:00"/>
    <n v="1999"/>
    <n v="1999"/>
    <n v="0"/>
    <n v="0"/>
    <s v="UPI/4376"/>
    <s v="UPI PAYMENT/4376"/>
    <x v="0"/>
    <s v="Exact amount + date + transaction type"/>
    <n v="95"/>
    <x v="0"/>
    <s v="No"/>
    <s v="No duplicate candidate"/>
  </r>
  <r>
    <s v="a9ff7b75-7cac-4d51-9e3b-2d78c9af1965"/>
    <s v="LED100460"/>
    <d v="2024-01-11T00:00:00"/>
    <d v="2024-01-11T00:00:00"/>
    <n v="1000"/>
    <n v="1000"/>
    <n v="0"/>
    <n v="0"/>
    <s v="UPI/43775"/>
    <s v="UPI PAYMENT/43775"/>
    <x v="0"/>
    <s v="Exact amount + date + transaction type"/>
    <n v="95"/>
    <x v="0"/>
    <s v="No"/>
    <s v="No duplicate candidate"/>
  </r>
  <r>
    <s v="62c9d5e2-428e-4a79-bd11-92d8f07db62c"/>
    <s v="LED100461"/>
    <d v="2024-01-12T00:00:00"/>
    <d v="2024-01-12T00:00:00"/>
    <n v="470"/>
    <n v="470"/>
    <n v="0"/>
    <n v="0"/>
    <s v="NEFT"/>
    <s v="NEFT PAYMENT"/>
    <x v="0"/>
    <s v="Exact reference + amount + date + type"/>
    <n v="100"/>
    <x v="0"/>
    <s v="No"/>
    <s v="No duplicate candidate"/>
  </r>
  <r>
    <s v="c7cbcd85-01cf-4dc9-b995-fccb5906ff33"/>
    <s v="LED100462"/>
    <d v="2024-01-12T00:00:00"/>
    <d v="2024-01-12T00:00:00"/>
    <n v="110"/>
    <n v="110"/>
    <n v="0"/>
    <n v="0"/>
    <s v="UPI/43787"/>
    <s v="UPI PAYMENT/43787"/>
    <x v="0"/>
    <s v="Exact amount + date + transaction type"/>
    <n v="95"/>
    <x v="0"/>
    <s v="No"/>
    <s v="No duplicate candidate"/>
  </r>
  <r>
    <s v="e96afe40-f953-486a-8a3b-e031a1901448"/>
    <s v="LED100463"/>
    <d v="2024-01-12T00:00:00"/>
    <d v="2024-01-12T00:00:00"/>
    <n v="690"/>
    <n v="724.5"/>
    <n v="34.5"/>
    <n v="0"/>
    <s v="IMPS"/>
    <s v="IMPS PAYMENT"/>
    <x v="4"/>
    <s v="Description similarity 100% but amount differs by ₹34.50"/>
    <n v="80"/>
    <x v="1"/>
    <s v="No"/>
    <s v="No duplicate candidate"/>
  </r>
  <r>
    <s v="3fe91676-7889-4829-a932-6d8b2755cb08"/>
    <s v="LED100464"/>
    <d v="2024-01-12T00:00:00"/>
    <d v="2024-01-12T00:00:00"/>
    <n v="220"/>
    <n v="220"/>
    <n v="0"/>
    <n v="0"/>
    <s v="UPI/40123"/>
    <s v="UPI PAYMENT/40123"/>
    <x v="0"/>
    <s v="Exact amount + date + transaction type"/>
    <n v="95"/>
    <x v="0"/>
    <s v="No"/>
    <s v="No duplicate candidate"/>
  </r>
  <r>
    <s v="4e5f8715-5a80-43d6-bf83-56a26a12d55d"/>
    <s v="LED100465"/>
    <d v="2024-01-13T00:00:00"/>
    <d v="2024-01-13T00:00:00"/>
    <n v="500"/>
    <n v="500"/>
    <n v="0"/>
    <n v="0"/>
    <s v="UPI/43791"/>
    <s v="UPI PAYMENT/43791"/>
    <x v="0"/>
    <s v="Exact amount + date + transaction type"/>
    <n v="95"/>
    <x v="0"/>
    <s v="No"/>
    <s v="No duplicate candidate"/>
  </r>
  <r>
    <s v="7e3b7c17-647b-45b7-8baf-79d338c2a6fd"/>
    <s v="LED100466"/>
    <d v="2024-01-13T00:00:00"/>
    <d v="2024-01-13T00:00:00"/>
    <n v="350"/>
    <n v="350"/>
    <n v="0"/>
    <n v="0"/>
    <s v="UPI/PAYTM"/>
    <s v="UPI PAYMENT/PAYTM"/>
    <x v="0"/>
    <s v="Exact amount + date + transaction type"/>
    <n v="95"/>
    <x v="0"/>
    <s v="No"/>
    <s v="No duplicate candidate"/>
  </r>
  <r>
    <s v="c1795188-ceec-4f70-a41f-b54e5ca02f5d"/>
    <s v="LED100467"/>
    <d v="2024-01-13T00:00:00"/>
    <d v="2024-01-13T00:00:00"/>
    <n v="100"/>
    <n v="100"/>
    <n v="0"/>
    <n v="0"/>
    <s v="UPI/40135"/>
    <s v="UPI PAYMENT/40135"/>
    <x v="0"/>
    <s v="Exact amount + date + transaction type"/>
    <n v="95"/>
    <x v="0"/>
    <s v="No"/>
    <s v="No duplicate candidate"/>
  </r>
  <r>
    <s v="2d13afe7-357d-425c-a331-09ce27110425"/>
    <s v="LED100468"/>
    <d v="2024-01-14T00:00:00"/>
    <d v="2024-01-14T00:00:00"/>
    <n v="290"/>
    <n v="290"/>
    <n v="0"/>
    <n v="0"/>
    <s v="NEFT"/>
    <s v="NEFT PAYMENT"/>
    <x v="0"/>
    <s v="Exact reference + amount + date + type"/>
    <n v="100"/>
    <x v="0"/>
    <s v="No"/>
    <s v="No duplicate candidate"/>
  </r>
  <r>
    <s v="f5e5f32a-7d3e-427d-a391-3c8ede50d9c5"/>
    <s v="LED100497"/>
    <d v="2024-01-14T00:00:00"/>
    <d v="2024-01-28T00:00:00"/>
    <n v="15"/>
    <n v="15"/>
    <n v="0"/>
    <n v="14"/>
    <s v="UPI/BILLDESKRECHARGE"/>
    <s v="UPI PAYMENT/BILLDESKRECHARGE"/>
    <x v="1"/>
    <s v="Same amount + high description similarity 100% but date differs by 14 days"/>
    <n v="60"/>
    <x v="2"/>
    <s v="No"/>
    <s v="No duplicate candidate"/>
  </r>
  <r>
    <s v="21b1114b-b2dd-46c5-b71d-7b261bc4fb63"/>
    <s v="LED100470"/>
    <d v="2024-01-15T00:00:00"/>
    <d v="2024-01-15T00:00:00"/>
    <n v="110"/>
    <n v="110"/>
    <n v="0"/>
    <n v="0"/>
    <s v="UPI/43817"/>
    <s v="UPI PAYMENT/43817"/>
    <x v="0"/>
    <s v="Exact amount + date + transaction type"/>
    <n v="95"/>
    <x v="0"/>
    <s v="No"/>
    <s v="No duplicate candidate"/>
  </r>
  <r>
    <s v="d070801c-7401-4b6f-bc6f-33a8e5a840f1"/>
    <s v="LED100471"/>
    <d v="2024-01-15T00:00:00"/>
    <d v="2024-01-15T00:00:00"/>
    <n v="80"/>
    <n v="80"/>
    <n v="0"/>
    <n v="0"/>
    <s v="UPI/43811"/>
    <s v="UPI PAYMENT/43811"/>
    <x v="0"/>
    <s v="Exact amount + date + transaction type"/>
    <n v="95"/>
    <x v="0"/>
    <s v="No"/>
    <s v="No duplicate candidate"/>
  </r>
  <r>
    <s v="1b937e4f-f0f1-41d8-9dad-ec57557ffef6"/>
    <s v="LED100769"/>
    <d v="2024-01-16T00:00:00"/>
    <d v="2024-04-20T00:00:00"/>
    <n v="1500"/>
    <n v="1450"/>
    <n v="-50"/>
    <n v="95"/>
    <s v="NEFT"/>
    <s v="NEFT PAYMENT"/>
    <x v="4"/>
    <s v="Description similarity 100% but amount differs by ₹50.00"/>
    <n v="80"/>
    <x v="1"/>
    <s v="No"/>
    <s v="No duplicate candidate"/>
  </r>
  <r>
    <s v="55b413a1-929e-418d-b353-f3867142573c"/>
    <s v="LED100473"/>
    <d v="2024-01-16T00:00:00"/>
    <d v="2024-01-16T00:00:00"/>
    <n v="10"/>
    <n v="10"/>
    <n v="0"/>
    <n v="0"/>
    <s v="UPI/43824"/>
    <s v="UPI PAYMENT/43824"/>
    <x v="0"/>
    <s v="Exact amount + date + transaction type"/>
    <n v="95"/>
    <x v="0"/>
    <s v="No"/>
    <s v="No duplicate candidate"/>
  </r>
  <r>
    <s v="a1143671-1045-46d8-8f37-fe367402e90e"/>
    <s v="LED100474"/>
    <d v="2024-01-16T00:00:00"/>
    <d v="2024-01-16T00:00:00"/>
    <n v="150"/>
    <n v="150"/>
    <n v="0"/>
    <n v="0"/>
    <s v="UPI/40168/"/>
    <s v="UPI PAYMENT/40168/"/>
    <x v="0"/>
    <s v="Exact amount + date + transaction type"/>
    <n v="95"/>
    <x v="0"/>
    <s v="No"/>
    <s v="No duplicate candidate"/>
  </r>
  <r>
    <s v="0da5a399-c646-4b72-aa52-8d009ca1a91c"/>
    <s v="LED100475"/>
    <d v="2024-01-17T00:00:00"/>
    <d v="2024-01-17T00:00:00"/>
    <n v="10"/>
    <n v="10"/>
    <n v="0"/>
    <n v="0"/>
    <s v="UPI/GPAY"/>
    <s v="UPI PAYMENT/GPAY"/>
    <x v="1"/>
    <s v="Amount + type match with description similarity 100%"/>
    <n v="85"/>
    <x v="1"/>
    <s v="No"/>
    <s v="No duplicate candidate"/>
  </r>
  <r>
    <s v="45778d12-35b5-412d-b6e4-ef3882626971"/>
    <s v="LED100476"/>
    <d v="2024-01-17T00:00:00"/>
    <d v="2024-01-17T00:00:00"/>
    <n v="10"/>
    <n v="10"/>
    <n v="0"/>
    <n v="0"/>
    <s v="UPI/4383"/>
    <s v="UPI PAYMENT/4383"/>
    <x v="0"/>
    <s v="Exact amount + date + transaction type"/>
    <n v="95"/>
    <x v="0"/>
    <s v="No"/>
    <s v="No duplicate candidate"/>
  </r>
  <r>
    <s v="2e32ecbb-f985-43d6-8993-a41220da1f0a"/>
    <s v="LED100477"/>
    <d v="2024-01-18T00:00:00"/>
    <d v="2024-01-18T00:00:00"/>
    <n v="300"/>
    <n v="300"/>
    <n v="0"/>
    <n v="0"/>
    <s v="UPI/43846"/>
    <s v="UPI PAYMENT/43846"/>
    <x v="0"/>
    <s v="Exact amount + date + transaction type"/>
    <n v="95"/>
    <x v="0"/>
    <s v="No"/>
    <s v="No duplicate candidate"/>
  </r>
  <r>
    <s v="7fa370c4-156e-413a-a692-e597f5ce0483"/>
    <s v="LED100478"/>
    <d v="2024-01-18T00:00:00"/>
    <d v="2024-01-18T00:00:00"/>
    <n v="15"/>
    <n v="15"/>
    <n v="0"/>
    <n v="0"/>
    <s v="Gpay BILL Payment"/>
    <s v="GPAY BILL PAYMENT"/>
    <x v="0"/>
    <s v="Exact amount + date + transaction type"/>
    <n v="95"/>
    <x v="0"/>
    <s v="No"/>
    <s v="No duplicate candidate"/>
  </r>
  <r>
    <s v="e785ff49-b468-4823-a5ef-e441e86f9b6f"/>
    <s v="LED100479"/>
    <d v="2024-01-19T00:00:00"/>
    <d v="2024-01-19T00:00:00"/>
    <n v="241"/>
    <n v="240.9"/>
    <n v="0"/>
    <n v="0"/>
    <s v="UPI/EURONETGPAY"/>
    <s v="UPI PAYMENT/EURONETGPAY"/>
    <x v="1"/>
    <s v="Amount + type match with description similarity 100%"/>
    <n v="85"/>
    <x v="1"/>
    <s v="Yes"/>
    <s v="Duplicate candidate detected"/>
  </r>
  <r>
    <s v="a52446ee-379a-4d3f-9ea2-b77924d94cb1"/>
    <s v="LED100480"/>
    <d v="2024-01-19T00:00:00"/>
    <d v="2024-01-19T00:00:00"/>
    <n v="500"/>
    <n v="500"/>
    <n v="0"/>
    <n v="0"/>
    <s v="UPI/43857/"/>
    <s v="UPI PAYMENT/43857/"/>
    <x v="0"/>
    <s v="Exact amount + date + transaction type"/>
    <n v="95"/>
    <x v="0"/>
    <s v="No"/>
    <s v="No duplicate candidate"/>
  </r>
  <r>
    <s v="4a553536-d496-4f81-9e10-ee18ecbc34dc"/>
    <s v="LED100481"/>
    <d v="2024-01-19T00:00:00"/>
    <d v="2024-01-19T00:00:00"/>
    <n v="155"/>
    <n v="155"/>
    <n v="0"/>
    <n v="0"/>
    <s v="UPI/43856/"/>
    <s v="UPI PAYMENT/43856/"/>
    <x v="0"/>
    <s v="Exact amount + date + transaction type"/>
    <n v="95"/>
    <x v="0"/>
    <s v="No"/>
    <s v="No duplicate candidate"/>
  </r>
  <r>
    <s v="3643d209-2c06-4e4c-870f-ba26700256c7"/>
    <s v="LED100482"/>
    <d v="2024-01-20T00:00:00"/>
    <d v="2024-01-20T00:00:00"/>
    <n v="90"/>
    <n v="90"/>
    <n v="0"/>
    <n v="0"/>
    <s v="NEFT"/>
    <s v="NEFT PAYMENT"/>
    <x v="0"/>
    <s v="Exact reference + amount + date + type"/>
    <n v="100"/>
    <x v="0"/>
    <s v="No"/>
    <s v="No duplicate candidate"/>
  </r>
  <r>
    <s v="8481b283-de2a-4f1d-aa70-ec139e19ddfb"/>
    <s v="LED100535"/>
    <d v="2024-01-21T00:00:00"/>
    <d v="2024-02-12T00:00:00"/>
    <n v="580"/>
    <n v="590"/>
    <n v="10"/>
    <n v="22"/>
    <s v="NEFT"/>
    <s v="NEFT PAYMENT"/>
    <x v="4"/>
    <s v="Description similarity 100% but amount differs by ₹10.00"/>
    <n v="80"/>
    <x v="1"/>
    <s v="No"/>
    <s v="No duplicate candidate"/>
  </r>
  <r>
    <s v="6387b594-6998-47c4-bc67-75f6d22c97c2"/>
    <s v="LED100484"/>
    <d v="2024-01-21T00:00:00"/>
    <d v="2024-01-21T00:00:00"/>
    <n v="300"/>
    <n v="300"/>
    <n v="0"/>
    <n v="0"/>
    <s v="UPI/43876"/>
    <s v="UPI PAYMENT/43876"/>
    <x v="0"/>
    <s v="Exact amount + date + transaction type"/>
    <n v="95"/>
    <x v="0"/>
    <s v="No"/>
    <s v="No duplicate candidate"/>
  </r>
  <r>
    <s v="61dc4e95-c640-4fb5-8497-5b76fc6ef8cc"/>
    <s v="LED100485"/>
    <d v="2024-01-21T00:00:00"/>
    <d v="2024-01-21T00:00:00"/>
    <n v="50"/>
    <n v="50"/>
    <n v="0"/>
    <n v="0"/>
    <s v="UPI/PAYTM"/>
    <s v="UPI PAYMENT/PAYTM"/>
    <x v="0"/>
    <s v="Exact amount + date + transaction type"/>
    <n v="95"/>
    <x v="0"/>
    <s v="No"/>
    <s v="No duplicate candidate"/>
  </r>
  <r>
    <s v="24da6ab1-cf94-447f-862f-04a7da71e23e"/>
    <s v="LED100486"/>
    <d v="2024-01-22T00:00:00"/>
    <d v="2024-01-22T00:00:00"/>
    <n v="10"/>
    <n v="10"/>
    <n v="0"/>
    <n v="0"/>
    <s v="UPI/40220/UP"/>
    <s v="UPI PAYMENT/40220/UP"/>
    <x v="0"/>
    <s v="Exact amount + date + transaction type"/>
    <n v="95"/>
    <x v="0"/>
    <s v="No"/>
    <s v="No duplicate candidate"/>
  </r>
  <r>
    <s v="2a1f7267-bfc4-418b-b545-639119d674e8"/>
    <s v="LED100487"/>
    <d v="2024-01-24T00:00:00"/>
    <d v="2024-01-24T00:00:00"/>
    <n v="350"/>
    <n v="350"/>
    <n v="0"/>
    <n v="0"/>
    <s v="NEFT"/>
    <s v="NEFT PAYMENT"/>
    <x v="0"/>
    <s v="Exact reference + amount + date + type"/>
    <n v="100"/>
    <x v="0"/>
    <s v="No"/>
    <s v="No duplicate candidate"/>
  </r>
  <r>
    <s v="c86f88f3-0dda-4247-a903-f66640ce38ec"/>
    <s v="LED100488"/>
    <d v="2024-01-24T00:00:00"/>
    <d v="2024-01-24T00:00:00"/>
    <n v="241"/>
    <n v="240.9"/>
    <n v="0"/>
    <n v="0"/>
    <s v="Gpay BILL Payment"/>
    <s v="GPAY BILL PAYMENT"/>
    <x v="0"/>
    <s v="Exact amount + date + transaction type"/>
    <n v="95"/>
    <x v="0"/>
    <s v="No"/>
    <s v="No duplicate candidate"/>
  </r>
  <r>
    <s v="0746569b-5e27-437f-84aa-9f06e4286be7"/>
    <s v="LED100489"/>
    <d v="2024-01-24T00:00:00"/>
    <d v="2024-01-24T00:00:00"/>
    <n v="500"/>
    <n v="500"/>
    <n v="0"/>
    <n v="0"/>
    <s v="UPI/40246"/>
    <s v="UPI PAYMENT/40246"/>
    <x v="0"/>
    <s v="Exact amount + date + transaction type"/>
    <n v="95"/>
    <x v="0"/>
    <s v="No"/>
    <s v="No duplicate candidate"/>
  </r>
  <r>
    <s v="eef93922-2306-4b7d-93d5-c95986a33666"/>
    <s v="LED100490"/>
    <d v="2024-01-26T00:00:00"/>
    <d v="2024-01-26T00:00:00"/>
    <n v="300"/>
    <n v="300"/>
    <n v="0"/>
    <n v="0"/>
    <s v="NEFT"/>
    <s v="NEFT PAYMENT"/>
    <x v="0"/>
    <s v="Exact reference + amount + date + type"/>
    <n v="100"/>
    <x v="0"/>
    <s v="No"/>
    <s v="No duplicate candidate"/>
  </r>
  <r>
    <s v="1341bb31-78dc-4d05-88a7-a971235de080"/>
    <s v="LED100491"/>
    <d v="2024-01-26T00:00:00"/>
    <d v="2024-01-26T00:00:00"/>
    <n v="260"/>
    <n v="260"/>
    <n v="0"/>
    <n v="0"/>
    <s v="UPI/43923-"/>
    <s v="UPI PAYMENT/43923-"/>
    <x v="0"/>
    <s v="Exact amount + date + transaction type"/>
    <n v="95"/>
    <x v="0"/>
    <s v="No"/>
    <s v="No duplicate candidate"/>
  </r>
  <r>
    <s v="f489760e-afcc-45d5-9a73-9ce9d7c52f5f"/>
    <s v="LED100492"/>
    <d v="2024-01-27T00:00:00"/>
    <d v="2024-01-27T00:00:00"/>
    <n v="550"/>
    <n v="550"/>
    <n v="0"/>
    <n v="0"/>
    <s v="NEFT"/>
    <s v="NEFT PAYMENT"/>
    <x v="0"/>
    <s v="Exact reference + amount + date + type"/>
    <n v="100"/>
    <x v="0"/>
    <s v="No"/>
    <s v="No duplicate candidate"/>
  </r>
  <r>
    <s v="46c5404b-1418-423a-bd01-e4e4310461c5"/>
    <s v="LED100493"/>
    <d v="2024-01-27T00:00:00"/>
    <d v="2024-01-27T00:00:00"/>
    <n v="120"/>
    <n v="120"/>
    <n v="0"/>
    <n v="0"/>
    <s v="UPI/43933"/>
    <s v="UPI PAYMENT/43933"/>
    <x v="0"/>
    <s v="Exact amount + date + transaction type"/>
    <n v="95"/>
    <x v="0"/>
    <s v="No"/>
    <s v="No duplicate candidate"/>
  </r>
  <r>
    <s v="6a348480-54f6-4ee7-87bc-86a7312a5709"/>
    <s v="LED100494"/>
    <d v="2024-01-27T00:00:00"/>
    <d v="2024-01-27T00:00:00"/>
    <n v="500"/>
    <n v="500"/>
    <n v="0"/>
    <n v="0"/>
    <s v="UPI/40278"/>
    <s v="UPI PAYMENT/40278"/>
    <x v="0"/>
    <s v="Exact amount + date + transaction type"/>
    <n v="95"/>
    <x v="0"/>
    <s v="No"/>
    <s v="No duplicate candidate"/>
  </r>
  <r>
    <s v="c76f9685-7f8e-4bba-8477-1253137a3ef5"/>
    <s v="LED100495"/>
    <d v="2024-01-27T00:00:00"/>
    <d v="2024-01-27T00:00:00"/>
    <n v="35"/>
    <n v="35"/>
    <n v="0"/>
    <n v="0"/>
    <s v="UPI/40279"/>
    <s v="UPI PAYMENT/40279"/>
    <x v="0"/>
    <s v="Exact amount + date + transaction type"/>
    <n v="95"/>
    <x v="0"/>
    <s v="No"/>
    <s v="No duplicate candidate"/>
  </r>
  <r>
    <s v="1f8b3234-a7be-47e7-bfe6-b369a62c4a18"/>
    <s v="LED100496"/>
    <d v="2024-01-28T00:00:00"/>
    <d v="2024-01-28T00:00:00"/>
    <n v="1720"/>
    <n v="1720"/>
    <n v="0"/>
    <n v="0"/>
    <s v="NEFT"/>
    <s v="NEFT PAYMENT"/>
    <x v="0"/>
    <s v="Exact reference + amount + date + type"/>
    <n v="100"/>
    <x v="0"/>
    <s v="No"/>
    <s v="No duplicate candidate"/>
  </r>
  <r>
    <s v="31452e9f-03fd-4d51-aa53-e51ef763c2eb"/>
    <s v="LED100469"/>
    <d v="2024-01-28T00:00:00"/>
    <d v="2024-01-14T00:00:00"/>
    <n v="15"/>
    <n v="15.3"/>
    <n v="0.3"/>
    <n v="-14"/>
    <s v="UPI/BILLDESKRECHARGE"/>
    <s v="UPI PAYMENT/BILLDESKRECHARGE"/>
    <x v="4"/>
    <s v="Description similarity 100% but amount differs by ₹0.30"/>
    <n v="80"/>
    <x v="1"/>
    <s v="No"/>
    <s v="No duplicate candidate"/>
  </r>
  <r>
    <s v="debc511b-ad48-4d6a-a7d6-07232fd917fe"/>
    <s v="LED100498"/>
    <d v="2024-01-28T00:00:00"/>
    <d v="2024-01-28T00:00:00"/>
    <n v="800"/>
    <n v="800"/>
    <n v="0"/>
    <n v="0"/>
    <s v="UPI/43941"/>
    <s v="UPI PAYMENT/43941"/>
    <x v="0"/>
    <s v="Exact amount + date + transaction type"/>
    <n v="95"/>
    <x v="0"/>
    <s v="No"/>
    <s v="No duplicate candidate"/>
  </r>
  <r>
    <s v="118471d8-da4d-4b27-bfea-94539b969998"/>
    <s v="LED100499"/>
    <d v="2024-01-28T00:00:00"/>
    <d v="2024-01-28T00:00:00"/>
    <n v="50"/>
    <n v="50"/>
    <n v="0"/>
    <n v="0"/>
    <s v="UPI/BHARATPE6"/>
    <s v="UPI PAYMENT/BHARATPE6"/>
    <x v="0"/>
    <s v="Exact amount + date + transaction type"/>
    <n v="95"/>
    <x v="0"/>
    <s v="No"/>
    <s v="No duplicate candidate"/>
  </r>
  <r>
    <s v="5bb081ab-1a92-4b2e-a6f4-2c9cc7580ce1"/>
    <s v="LED100500"/>
    <d v="2024-01-29T00:00:00"/>
    <d v="2024-01-29T00:00:00"/>
    <n v="1850"/>
    <n v="1850"/>
    <n v="0"/>
    <n v="0"/>
    <s v="NEFT"/>
    <s v="NEFT PAYMENT"/>
    <x v="0"/>
    <s v="Exact reference + amount + date + type"/>
    <n v="100"/>
    <x v="0"/>
    <s v="No"/>
    <s v="No duplicate candidate"/>
  </r>
  <r>
    <s v="9b39127d-c6b9-48df-a402-0e584deb0560"/>
    <s v="LED100501"/>
    <d v="2024-01-29T00:00:00"/>
    <d v="2024-01-29T00:00:00"/>
    <n v="100"/>
    <n v="100"/>
    <n v="0"/>
    <n v="0"/>
    <s v="UPI/40295/"/>
    <s v="UPI PAYMENT/40295/"/>
    <x v="0"/>
    <s v="Exact amount + date + transaction type"/>
    <n v="95"/>
    <x v="0"/>
    <s v="No"/>
    <s v="No duplicate candidate"/>
  </r>
  <r>
    <s v="d41d0c9b-b7a9-47d0-a10f-b26c69a5dbc1"/>
    <s v="LED100502"/>
    <d v="2024-01-30T00:00:00"/>
    <d v="2024-01-30T00:00:00"/>
    <n v="800"/>
    <n v="800"/>
    <n v="0"/>
    <n v="0"/>
    <s v="NEFT"/>
    <s v="NEFT PAYMENT"/>
    <x v="0"/>
    <s v="Exact reference + amount + date + type"/>
    <n v="100"/>
    <x v="0"/>
    <s v="No"/>
    <s v="No duplicate candidate"/>
  </r>
  <r>
    <s v="349f18e4-cd8c-48f3-b550-f2121e8aba84"/>
    <s v="LED100503"/>
    <d v="2024-01-30T00:00:00"/>
    <d v="2024-01-30T00:00:00"/>
    <n v="80"/>
    <n v="80"/>
    <n v="0"/>
    <n v="0"/>
    <s v="UPI/40300/"/>
    <s v="UPI PAYMENT/40300/"/>
    <x v="0"/>
    <s v="Exact amount + date + transaction type"/>
    <n v="95"/>
    <x v="0"/>
    <s v="No"/>
    <s v="No duplicate candidate"/>
  </r>
  <r>
    <s v="3de88f18-de2e-4291-91ff-e7074f11180e"/>
    <s v="LED100504"/>
    <d v="2024-01-30T00:00:00"/>
    <d v="2024-01-30T00:00:00"/>
    <n v="7"/>
    <n v="7"/>
    <n v="0"/>
    <n v="0"/>
    <s v="UPI/BHARATPE"/>
    <s v="UPI PAYMENT/BHARATPE"/>
    <x v="0"/>
    <s v="Exact amount + date + transaction type"/>
    <n v="95"/>
    <x v="0"/>
    <s v="No"/>
    <s v="No duplicate candidate"/>
  </r>
  <r>
    <s v="f0b28162-2bce-4103-b00d-aa1b80fd80c3"/>
    <s v="LED100505"/>
    <d v="2024-01-30T00:00:00"/>
    <d v="2024-01-30T00:00:00"/>
    <n v="500"/>
    <n v="500"/>
    <n v="0"/>
    <n v="0"/>
    <s v="UPI/40308"/>
    <s v="UPI PAYMENT/40308"/>
    <x v="0"/>
    <s v="Exact amount + date + transaction type"/>
    <n v="95"/>
    <x v="0"/>
    <s v="No"/>
    <s v="No duplicate candidate"/>
  </r>
  <r>
    <s v="f158a569-b980-4e45-a944-31b42a31d557"/>
    <s v="LED100506"/>
    <d v="2024-01-31T00:00:00"/>
    <d v="2024-01-31T00:00:00"/>
    <n v="207"/>
    <n v="207"/>
    <n v="0"/>
    <n v="0"/>
    <s v="NEFT"/>
    <s v="NEFT PAYMENT"/>
    <x v="0"/>
    <s v="Exact reference + amount + date + type"/>
    <n v="100"/>
    <x v="0"/>
    <s v="No"/>
    <s v="No duplicate candidate"/>
  </r>
  <r>
    <s v="73617a32-1890-46c5-bb78-b8a858d966fd"/>
    <s v="LED100507"/>
    <d v="2024-01-31T00:00:00"/>
    <d v="2024-01-31T00:00:00"/>
    <n v="5000"/>
    <n v="5000"/>
    <n v="0"/>
    <n v="0"/>
    <s v="UPI/43972"/>
    <s v="UPI PAYMENT/43972"/>
    <x v="0"/>
    <s v="Exact amount + date + transaction type"/>
    <n v="95"/>
    <x v="0"/>
    <s v="No"/>
    <s v="No duplicate candidate"/>
  </r>
  <r>
    <s v="7c8fce48-1a00-461b-b6e3-af37130eee0c"/>
    <s v="LED100508"/>
    <d v="2024-01-31T00:00:00"/>
    <d v="2024-01-31T00:00:00"/>
    <n v="100"/>
    <n v="100"/>
    <n v="0"/>
    <n v="0"/>
    <s v="UPI/43970/"/>
    <s v="UPI PAYMENT/43970/"/>
    <x v="0"/>
    <s v="Exact amount + date + transaction type"/>
    <n v="95"/>
    <x v="0"/>
    <s v="No"/>
    <s v="No duplicate candidate"/>
  </r>
  <r>
    <s v="809adb3c-d3ef-4b7a-b146-2802f3f35753"/>
    <s v="LED100509"/>
    <d v="2024-01-31T00:00:00"/>
    <d v="2024-01-31T00:00:00"/>
    <n v="100"/>
    <n v="100"/>
    <n v="0"/>
    <n v="0"/>
    <s v="UPI/43975"/>
    <s v="UPI PAYMENT/43975"/>
    <x v="0"/>
    <s v="Exact amount + date + transaction type"/>
    <n v="95"/>
    <x v="0"/>
    <s v="No"/>
    <s v="No duplicate candidate"/>
  </r>
  <r>
    <s v="08a34f7b-850e-457e-a038-0b000f4d6847"/>
    <s v="LED100510"/>
    <d v="2024-02-01T00:00:00"/>
    <d v="2024-02-01T00:00:00"/>
    <n v="900"/>
    <n v="900"/>
    <n v="0"/>
    <n v="0"/>
    <s v="NEFT"/>
    <s v="NEFT PAYMENT"/>
    <x v="0"/>
    <s v="Exact reference + amount + date + type"/>
    <n v="100"/>
    <x v="0"/>
    <s v="No"/>
    <s v="No duplicate candidate"/>
  </r>
  <r>
    <s v="4f8b69e5-2851-4253-8a0f-ecff15cc9e25"/>
    <s v="LED100511"/>
    <d v="2024-02-01T00:00:00"/>
    <d v="2024-02-01T00:00:00"/>
    <n v="19"/>
    <n v="19"/>
    <n v="0"/>
    <n v="0"/>
    <s v="UPI/EURONETGPAY"/>
    <s v="UPI PAYMENT/EURONETGPAY"/>
    <x v="0"/>
    <s v="Exact amount + date + transaction type"/>
    <n v="95"/>
    <x v="0"/>
    <s v="No"/>
    <s v="No duplicate candidate"/>
  </r>
  <r>
    <s v="cae6321d-8ab5-49f2-b02d-843cd3714362"/>
    <s v="LED100512"/>
    <d v="2024-01-31T00:00:00"/>
    <d v="2024-01-31T00:00:00"/>
    <n v="58"/>
    <n v="58"/>
    <n v="0"/>
    <n v="0"/>
    <s v="5188810000"/>
    <s v="5188810000"/>
    <x v="0"/>
    <s v="Exact amount + date + transaction type"/>
    <n v="95"/>
    <x v="0"/>
    <s v="No"/>
    <s v="No duplicate candidate"/>
  </r>
  <r>
    <s v="ce72ebe9-c56f-40b3-a370-c94123047f03"/>
    <s v="LED100513"/>
    <d v="2024-02-03T00:00:00"/>
    <d v="2024-02-03T00:00:00"/>
    <n v="200"/>
    <n v="200"/>
    <n v="0"/>
    <n v="0"/>
    <s v="UPI/40344/"/>
    <s v="UPI PAYMENT/40344/"/>
    <x v="0"/>
    <s v="Exact amount + date + transaction type"/>
    <n v="95"/>
    <x v="0"/>
    <s v="No"/>
    <s v="No duplicate candidate"/>
  </r>
  <r>
    <s v="cda774a4-0998-4448-b64b-d38c751b6046"/>
    <s v="LED100514"/>
    <d v="2024-02-03T00:00:00"/>
    <d v="2024-02-03T00:00:00"/>
    <n v="400"/>
    <n v="400"/>
    <n v="0"/>
    <n v="0"/>
    <s v="UPI/BHARATPE"/>
    <s v="UPI PAYMENT/BHARATPE"/>
    <x v="0"/>
    <s v="Exact amount + date + transaction type"/>
    <n v="95"/>
    <x v="0"/>
    <s v="No"/>
    <s v="No duplicate candidate"/>
  </r>
  <r>
    <s v="bf600bd4-ff26-4656-8075-1330fc2bfeab"/>
    <s v="LED100515"/>
    <d v="2024-02-03T00:00:00"/>
    <d v="2024-02-03T00:00:00"/>
    <n v="50"/>
    <n v="50"/>
    <n v="0"/>
    <n v="0"/>
    <s v="UPI/BHARATPE6"/>
    <s v="UPI PAYMENT/BHARATPE6"/>
    <x v="0"/>
    <s v="Exact amount + date + transaction type"/>
    <n v="95"/>
    <x v="0"/>
    <s v="No"/>
    <s v="No duplicate candidate"/>
  </r>
  <r>
    <s v="dffb7b0b-809d-4693-b9d3-39cb325ab763"/>
    <s v="LED100516"/>
    <d v="2024-02-03T00:00:00"/>
    <d v="2024-02-03T00:00:00"/>
    <n v="120"/>
    <n v="120"/>
    <n v="0"/>
    <n v="0"/>
    <s v="UPI/40340/"/>
    <s v="UPI PAYMENT/40340/"/>
    <x v="0"/>
    <s v="Exact amount + date + transaction type"/>
    <n v="95"/>
    <x v="0"/>
    <s v="No"/>
    <s v="No duplicate candidate"/>
  </r>
  <r>
    <s v="77909c14-8e91-4e22-8eb5-22d1a9c9fd70"/>
    <s v="LED100517"/>
    <d v="2024-02-04T00:00:00"/>
    <d v="2024-02-04T00:00:00"/>
    <n v="800"/>
    <n v="800"/>
    <n v="0"/>
    <n v="0"/>
    <s v="NEFT"/>
    <s v="NEFT PAYMENT"/>
    <x v="0"/>
    <s v="Exact reference + amount + date + type"/>
    <n v="100"/>
    <x v="0"/>
    <s v="No"/>
    <s v="No duplicate candidate"/>
  </r>
  <r>
    <s v="328ac14b-ef6c-458b-b092-dd9824a77f94"/>
    <s v="LED100518"/>
    <d v="2024-02-04T00:00:00"/>
    <d v="2024-02-04T00:00:00"/>
    <n v="120"/>
    <n v="120"/>
    <n v="0"/>
    <n v="0"/>
    <s v="UPI/40353"/>
    <s v="UPI PAYMENT/40353"/>
    <x v="0"/>
    <s v="Exact amount + date + transaction type"/>
    <n v="95"/>
    <x v="0"/>
    <s v="No"/>
    <s v="No duplicate candidate"/>
  </r>
  <r>
    <s v="88d1bfe6-2c26-4dd2-b0e7-cd5fb5c5ccae"/>
    <s v="LED100519"/>
    <d v="2024-02-05T00:00:00"/>
    <d v="2024-02-05T00:00:00"/>
    <n v="50"/>
    <n v="50"/>
    <n v="0"/>
    <n v="0"/>
    <s v="UPI/44024/"/>
    <s v="UPI PAYMENT/44024/"/>
    <x v="0"/>
    <s v="Exact amount + date + transaction type"/>
    <n v="95"/>
    <x v="0"/>
    <s v="No"/>
    <s v="No duplicate candidate"/>
  </r>
  <r>
    <s v="e7959102-13e1-47f3-a99f-347df1210bad"/>
    <s v="LED100520"/>
    <d v="2024-02-05T00:00:00"/>
    <d v="2024-02-05T00:00:00"/>
    <n v="500"/>
    <n v="500"/>
    <n v="0"/>
    <n v="0"/>
    <s v="UPI/44022/U"/>
    <s v="UPI PAYMENT/44022/U"/>
    <x v="0"/>
    <s v="Exact amount + date + transaction type"/>
    <n v="95"/>
    <x v="0"/>
    <s v="No"/>
    <s v="No duplicate candidate"/>
  </r>
  <r>
    <s v="467a3d65-2ad0-4f2c-b016-25c1663e8fb7"/>
    <s v="LED100521"/>
    <d v="2024-02-05T00:00:00"/>
    <d v="2024-02-05T00:00:00"/>
    <n v="150"/>
    <n v="150"/>
    <n v="0"/>
    <n v="0"/>
    <s v="UPI/BHARATPE"/>
    <s v="UPI PAYMENT/BHARATPE"/>
    <x v="0"/>
    <s v="Exact amount + date + transaction type"/>
    <n v="95"/>
    <x v="0"/>
    <s v="No"/>
    <s v="No duplicate candidate"/>
  </r>
  <r>
    <s v="1575967c-306e-4a3e-bc03-1a9be7cbdf23"/>
    <s v="LED100522"/>
    <d v="2024-02-06T00:00:00"/>
    <d v="2024-02-06T00:00:00"/>
    <n v="10"/>
    <n v="10"/>
    <n v="0"/>
    <n v="0"/>
    <s v="UPI/40379"/>
    <s v="UPI PAYMENT/40379"/>
    <x v="0"/>
    <s v="Exact amount + date + transaction type"/>
    <n v="95"/>
    <x v="0"/>
    <s v="No"/>
    <s v="No duplicate candidate"/>
  </r>
  <r>
    <s v="7b9eb3f7-923f-459a-a9d7-af5ee039bd7e"/>
    <s v="LED100523"/>
    <d v="2024-02-07T00:00:00"/>
    <d v="2024-02-07T00:00:00"/>
    <n v="200"/>
    <n v="200"/>
    <n v="0"/>
    <n v="0"/>
    <s v="UPI/44049"/>
    <s v="UPI PAYMENT/44049"/>
    <x v="0"/>
    <s v="Exact amount + date + transaction type"/>
    <n v="95"/>
    <x v="0"/>
    <s v="No"/>
    <s v="No duplicate candidate"/>
  </r>
  <r>
    <s v="ae8b77c8-30cb-4342-ad58-cc2f00e44242"/>
    <s v="LED100524"/>
    <d v="2024-02-07T00:00:00"/>
    <d v="2024-02-07T00:00:00"/>
    <n v="10"/>
    <n v="10"/>
    <n v="0"/>
    <n v="0"/>
    <s v="UPI/4404"/>
    <s v="UPI PAYMENT/4404"/>
    <x v="0"/>
    <s v="Exact amount + date + transaction type"/>
    <n v="95"/>
    <x v="0"/>
    <s v="No"/>
    <s v="No duplicate candidate"/>
  </r>
  <r>
    <s v="61b9360f-31da-4c9d-97ae-5ea710d1891b"/>
    <s v="LED100525"/>
    <d v="2024-02-08T00:00:00"/>
    <d v="2024-02-08T00:00:00"/>
    <n v="2600"/>
    <n v="2600"/>
    <n v="0"/>
    <n v="0"/>
    <s v="NEFT"/>
    <s v="NEFT PAYMENT"/>
    <x v="0"/>
    <s v="Exact reference + amount + date + type"/>
    <n v="100"/>
    <x v="0"/>
    <s v="No"/>
    <s v="No duplicate candidate"/>
  </r>
  <r>
    <s v="8ebd0800-7e9e-4590-832d-153baecaada8"/>
    <s v="LED100526"/>
    <d v="2024-02-08T00:00:00"/>
    <d v="2024-02-08T00:00:00"/>
    <n v="50"/>
    <n v="50"/>
    <n v="0"/>
    <n v="0"/>
    <s v="UPI/40397"/>
    <s v="UPI PAYMENT/40397"/>
    <x v="0"/>
    <s v="Exact amount + date + transaction type"/>
    <n v="95"/>
    <x v="0"/>
    <s v="No"/>
    <s v="No duplicate candidate"/>
  </r>
  <r>
    <s v="2b43e999-36ab-4f34-916c-9d86d25799cc"/>
    <s v="LED100527"/>
    <d v="2024-02-08T00:00:00"/>
    <d v="2024-02-08T00:00:00"/>
    <n v="120"/>
    <n v="120"/>
    <n v="0"/>
    <n v="0"/>
    <s v="UPI/PAYTM"/>
    <s v="UPI PAYMENT/PAYTM"/>
    <x v="0"/>
    <s v="Exact amount + date + transaction type"/>
    <n v="95"/>
    <x v="0"/>
    <s v="No"/>
    <s v="No duplicate candidate"/>
  </r>
  <r>
    <s v="7ce9315c-ed05-4556-b612-d0e08e5cb385"/>
    <s v="LED100528"/>
    <d v="2024-02-08T00:00:00"/>
    <d v="2024-02-08T00:00:00"/>
    <n v="240"/>
    <n v="240"/>
    <n v="0"/>
    <n v="0"/>
    <s v="UPI/40391"/>
    <s v="UPI PAYMENT/40391"/>
    <x v="0"/>
    <s v="Exact amount + date + transaction type"/>
    <n v="95"/>
    <x v="0"/>
    <s v="No"/>
    <s v="No duplicate candidate"/>
  </r>
  <r>
    <s v="95b1eec3-0171-4116-b682-4059d2a7bc24"/>
    <s v="LED100529"/>
    <d v="2024-02-09T00:00:00"/>
    <d v="2024-02-09T00:00:00"/>
    <n v="100"/>
    <n v="100"/>
    <n v="0"/>
    <n v="0"/>
    <s v="UPI/PAYTM"/>
    <s v="UPI PAYMENT/PAYTM"/>
    <x v="0"/>
    <s v="Exact amount + date + transaction type"/>
    <n v="95"/>
    <x v="0"/>
    <s v="No"/>
    <s v="No duplicate candidate"/>
  </r>
  <r>
    <s v="0a69922e-7224-4efd-9a72-3dcbd3aec1e3"/>
    <s v="LED100530"/>
    <d v="2024-02-10T00:00:00"/>
    <d v="2024-02-10T00:00:00"/>
    <n v="750"/>
    <n v="750"/>
    <n v="0"/>
    <n v="0"/>
    <s v="NEFT"/>
    <s v="NEFT PAYMENT"/>
    <x v="0"/>
    <s v="Exact reference + amount + date + type"/>
    <n v="100"/>
    <x v="0"/>
    <s v="No"/>
    <s v="No duplicate candidate"/>
  </r>
  <r>
    <s v="47c6ee84-d148-4fd1-805a-888e13d4634e"/>
    <s v="LED100531"/>
    <d v="2024-02-10T00:00:00"/>
    <d v="2024-02-10T00:00:00"/>
    <n v="500"/>
    <n v="500"/>
    <n v="0"/>
    <n v="0"/>
    <s v="UPI/40411"/>
    <s v="UPI PAYMENT/40411"/>
    <x v="0"/>
    <s v="Exact amount + date + transaction type"/>
    <n v="95"/>
    <x v="0"/>
    <s v="No"/>
    <s v="No duplicate candidate"/>
  </r>
  <r>
    <s v="d8feb565-b6d2-4762-92b6-56f8bd03bd31"/>
    <s v="LED100532"/>
    <d v="2024-02-11T00:00:00"/>
    <d v="2024-02-11T00:00:00"/>
    <n v="15"/>
    <n v="15"/>
    <n v="0"/>
    <n v="0"/>
    <s v="Gpay BILL Payment"/>
    <s v="GPAY BILL PAYMENT"/>
    <x v="1"/>
    <s v="Amount + type match with description similarity 100%"/>
    <n v="85"/>
    <x v="1"/>
    <s v="Yes"/>
    <s v="Duplicate candidate detected"/>
  </r>
  <r>
    <s v="37a15083-777f-4d71-a2da-bc6572399071"/>
    <s v="LED100533"/>
    <d v="2024-02-11T00:00:00"/>
    <d v="2024-02-11T00:00:00"/>
    <n v="30"/>
    <n v="30"/>
    <n v="0"/>
    <n v="0"/>
    <s v="UPI/40423"/>
    <s v="UPI PAYMENT/40423"/>
    <x v="0"/>
    <s v="Exact amount + date + transaction type"/>
    <n v="95"/>
    <x v="0"/>
    <s v="No"/>
    <s v="No duplicate candidate"/>
  </r>
  <r>
    <s v="3e7727fd-f4f5-4979-ba30-1fb191e78ea0"/>
    <s v="LED100534"/>
    <d v="2024-02-11T00:00:00"/>
    <d v="2024-02-11T00:00:00"/>
    <n v="200"/>
    <n v="200"/>
    <n v="0"/>
    <n v="0"/>
    <s v="UPI/40426/"/>
    <s v="UPI PAYMENT/40426/"/>
    <x v="0"/>
    <s v="Exact amount + date + transaction type"/>
    <n v="95"/>
    <x v="0"/>
    <s v="No"/>
    <s v="No duplicate candidate"/>
  </r>
  <r>
    <s v="68b32c0e-caf8-4f3d-9f43-9a98020a9370"/>
    <s v="LED100757"/>
    <d v="2024-02-12T00:00:00"/>
    <d v="2024-04-16T00:00:00"/>
    <n v="590"/>
    <n v="600"/>
    <n v="10"/>
    <n v="64"/>
    <s v="NEFT"/>
    <s v="NEFT PAYMENT"/>
    <x v="4"/>
    <s v="Description similarity 100% but amount differs by ₹10.00"/>
    <n v="80"/>
    <x v="1"/>
    <s v="No"/>
    <s v="No duplicate candidate"/>
  </r>
  <r>
    <s v="4e097305-2394-4ddb-9194-b5ba2c4f1f3c"/>
    <s v="LED100536"/>
    <d v="2024-02-12T00:00:00"/>
    <d v="2024-02-12T00:00:00"/>
    <n v="10000"/>
    <n v="10000"/>
    <n v="0"/>
    <n v="0"/>
    <s v="UPI/4409"/>
    <s v="UPI PAYMENT/4409"/>
    <x v="0"/>
    <s v="Exact amount + date + transaction type"/>
    <n v="95"/>
    <x v="0"/>
    <s v="No"/>
    <s v="No duplicate candidate"/>
  </r>
  <r>
    <s v="155249a3-f94d-4d7d-a50c-a15707c31c56"/>
    <s v="LED100537"/>
    <d v="2024-02-12T00:00:00"/>
    <d v="2024-02-12T00:00:00"/>
    <n v="500"/>
    <n v="500"/>
    <n v="0"/>
    <n v="0"/>
    <s v="UPI/40437"/>
    <s v="UPI PAYMENT/40437"/>
    <x v="0"/>
    <s v="Exact amount + date + transaction type"/>
    <n v="95"/>
    <x v="0"/>
    <s v="No"/>
    <s v="No duplicate candidate"/>
  </r>
  <r>
    <s v="6984b44d-3a50-409f-a3ca-1194f0d8f98e"/>
    <s v="LED100538"/>
    <d v="2024-02-13T00:00:00"/>
    <d v="2024-02-13T00:00:00"/>
    <n v="10000"/>
    <n v="10000"/>
    <n v="0"/>
    <n v="0"/>
    <s v="ATM"/>
    <s v="ATM WITHDRAWAL"/>
    <x v="0"/>
    <s v="Exact amount + date + transaction type"/>
    <n v="95"/>
    <x v="0"/>
    <s v="No"/>
    <s v="No duplicate candidate"/>
  </r>
  <r>
    <s v="3059a741-a85a-4cc2-a0f4-11780aafa0f6"/>
    <s v="LED100539"/>
    <d v="2024-02-13T00:00:00"/>
    <d v="2024-02-13T00:00:00"/>
    <n v="300"/>
    <n v="300"/>
    <n v="0"/>
    <n v="0"/>
    <s v="UPI/40448"/>
    <s v="UPI PAYMENT/40448"/>
    <x v="0"/>
    <s v="Exact amount + date + transaction type"/>
    <n v="95"/>
    <x v="0"/>
    <s v="No"/>
    <s v="No duplicate candidate"/>
  </r>
  <r>
    <s v="9e7a4dfb-6f70-4c0e-8d53-5c2aa1492cf7"/>
    <s v="LED100540"/>
    <d v="2024-02-13T00:00:00"/>
    <d v="2024-02-13T00:00:00"/>
    <n v="40"/>
    <n v="40"/>
    <n v="0"/>
    <n v="0"/>
    <s v="UPI/44103/"/>
    <s v="UPI PAYMENT/44103/"/>
    <x v="0"/>
    <s v="Exact amount + date + transaction type"/>
    <n v="95"/>
    <x v="0"/>
    <s v="No"/>
    <s v="No duplicate candidate"/>
  </r>
  <r>
    <s v="363c26a7-ebd0-4c0c-a36a-b6bed63cf0e3"/>
    <s v="LED100541"/>
    <d v="2024-02-13T00:00:00"/>
    <d v="2024-02-13T00:00:00"/>
    <n v="30"/>
    <n v="30"/>
    <n v="0"/>
    <n v="0"/>
    <s v="UPI/4410"/>
    <s v="UPI PAYMENT/4410"/>
    <x v="0"/>
    <s v="Exact amount + date + transaction type"/>
    <n v="95"/>
    <x v="0"/>
    <s v="No"/>
    <s v="No duplicate candidate"/>
  </r>
  <r>
    <s v="50e265b9-2f5e-4163-bdd0-d55a48a0a727"/>
    <s v="LED100542"/>
    <d v="2024-02-14T00:00:00"/>
    <d v="2024-02-14T00:00:00"/>
    <n v="50"/>
    <n v="50"/>
    <n v="0"/>
    <n v="0"/>
    <s v="NEFT"/>
    <s v="NEFT PAYMENT"/>
    <x v="0"/>
    <s v="Exact reference + amount + date + type"/>
    <n v="100"/>
    <x v="0"/>
    <s v="No"/>
    <s v="No duplicate candidate"/>
  </r>
  <r>
    <s v="760b87fd-0dfb-4eaf-a588-28a70a0fbb24"/>
    <s v="LED100543"/>
    <d v="2024-02-14T00:00:00"/>
    <d v="2024-02-14T00:00:00"/>
    <n v="1"/>
    <n v="1"/>
    <n v="0"/>
    <n v="0"/>
    <s v="UPI/40453/"/>
    <s v="UPI PAYMENT/40453/"/>
    <x v="0"/>
    <s v="Exact amount + date + transaction type"/>
    <n v="95"/>
    <x v="0"/>
    <s v="No"/>
    <s v="No duplicate candidate"/>
  </r>
  <r>
    <s v="97e01898-2b72-4fcc-9336-13bee9d494ac"/>
    <s v="LED100544"/>
    <d v="2024-02-14T00:00:00"/>
    <d v="2024-02-14T00:00:00"/>
    <n v="2544"/>
    <n v="2544"/>
    <n v="0"/>
    <n v="0"/>
    <s v="UPI/44115/"/>
    <s v="UPI PAYMENT/44115/"/>
    <x v="0"/>
    <s v="Exact amount + date + transaction type"/>
    <n v="95"/>
    <x v="0"/>
    <s v="No"/>
    <s v="No duplicate candidate"/>
  </r>
  <r>
    <s v="fc6dd8a6-6a87-4085-8758-da5587ccfe6c"/>
    <s v="LED100545"/>
    <d v="2024-02-14T00:00:00"/>
    <d v="2024-02-14T00:00:00"/>
    <n v="100"/>
    <n v="100"/>
    <n v="0"/>
    <n v="0"/>
    <s v="UPI/44112/"/>
    <s v="UPI PAYMENT/44112/"/>
    <x v="0"/>
    <s v="Exact amount + date + transaction type"/>
    <n v="95"/>
    <x v="0"/>
    <s v="No"/>
    <s v="No duplicate candidate"/>
  </r>
  <r>
    <s v="547f17dc-2d2c-4ccc-b95d-614ed96c2542"/>
    <s v="LED100546"/>
    <d v="2024-02-14T00:00:00"/>
    <d v="2024-02-14T00:00:00"/>
    <n v="60"/>
    <n v="60"/>
    <n v="0"/>
    <n v="0"/>
    <s v="UPI/44112"/>
    <s v="UPI PAYMENT/44112"/>
    <x v="0"/>
    <s v="Exact amount + date + transaction type"/>
    <n v="95"/>
    <x v="0"/>
    <s v="No"/>
    <s v="No duplicate candidate"/>
  </r>
  <r>
    <s v="b521bda5-63fd-4820-a488-87dcce7d18eb"/>
    <s v="LED100547"/>
    <d v="2024-02-15T00:00:00"/>
    <d v="2024-02-15T00:00:00"/>
    <n v="4"/>
    <n v="4"/>
    <n v="0"/>
    <n v="0"/>
    <s v="UPI/40465//U"/>
    <s v="UPI PAYMENT/40465//U"/>
    <x v="0"/>
    <s v="Exact amount + date + transaction type"/>
    <n v="95"/>
    <x v="0"/>
    <s v="No"/>
    <s v="No duplicate candidate"/>
  </r>
  <r>
    <s v="39510c4f-f246-4921-a15e-d22d663c1f50"/>
    <s v="LED100548"/>
    <d v="2024-02-15T00:00:00"/>
    <d v="2024-02-15T00:00:00"/>
    <n v="3000"/>
    <n v="3000"/>
    <n v="0"/>
    <n v="0"/>
    <s v="UPI/4412"/>
    <s v="UPI PAYMENT/4412"/>
    <x v="0"/>
    <s v="Exact amount + date + transaction type"/>
    <n v="95"/>
    <x v="0"/>
    <s v="No"/>
    <s v="No duplicate candidate"/>
  </r>
  <r>
    <s v="716027fa-f0f3-44d8-bb92-55d7762cd9fb"/>
    <s v="LED100549"/>
    <d v="2024-02-16T00:00:00"/>
    <d v="2024-02-16T00:00:00"/>
    <n v="40"/>
    <n v="40"/>
    <n v="0"/>
    <n v="0"/>
    <s v="UPI/40472"/>
    <s v="UPI PAYMENT/40472"/>
    <x v="0"/>
    <s v="Exact amount + date + transaction type"/>
    <n v="95"/>
    <x v="0"/>
    <s v="No"/>
    <s v="No duplicate candidate"/>
  </r>
  <r>
    <s v="cce59018-2488-43ca-aa86-d9ff212dd00e"/>
    <s v="LED100550"/>
    <d v="2024-02-16T00:00:00"/>
    <d v="2024-02-16T00:00:00"/>
    <n v="15"/>
    <n v="15"/>
    <n v="0"/>
    <n v="0"/>
    <s v="UPI/EURONETGPAY"/>
    <s v="UPI PAYMENT/EURONETGPAY"/>
    <x v="0"/>
    <s v="Exact amount + date + transaction type"/>
    <n v="95"/>
    <x v="0"/>
    <s v="No"/>
    <s v="No duplicate candidate"/>
  </r>
  <r>
    <s v="404ebe38-19f4-46fb-b243-1d5c19991d80"/>
    <s v="LED100551"/>
    <d v="2024-02-16T00:00:00"/>
    <d v="2024-02-16T00:00:00"/>
    <n v="180"/>
    <n v="180"/>
    <n v="0"/>
    <n v="0"/>
    <s v="UPI/44134"/>
    <s v="UPI PAYMENT/44134"/>
    <x v="0"/>
    <s v="Exact amount + date + transaction type"/>
    <n v="95"/>
    <x v="0"/>
    <s v="No"/>
    <s v="No duplicate candidate"/>
  </r>
  <r>
    <s v="c13cf27a-9082-4ed9-bc55-2aa2cd004082"/>
    <s v="LED100552"/>
    <d v="2024-02-17T00:00:00"/>
    <d v="2024-02-17T00:00:00"/>
    <n v="241"/>
    <n v="240.9"/>
    <n v="0"/>
    <n v="0"/>
    <s v="Gpay BILL Payment"/>
    <s v="GPAY BILL PAYMENT"/>
    <x v="0"/>
    <s v="Exact amount + date + transaction type"/>
    <n v="95"/>
    <x v="0"/>
    <s v="No"/>
    <s v="No duplicate candidate"/>
  </r>
  <r>
    <s v="268af40a-ed4a-4149-bef1-f970b138f39f"/>
    <s v="LED100553"/>
    <d v="2024-02-17T00:00:00"/>
    <d v="2024-02-17T00:00:00"/>
    <n v="2500"/>
    <n v="2500"/>
    <n v="0"/>
    <n v="0"/>
    <s v="UPI/40484/"/>
    <s v="UPI PAYMENT/40484/"/>
    <x v="0"/>
    <s v="Exact amount + date + transaction type"/>
    <n v="95"/>
    <x v="0"/>
    <s v="No"/>
    <s v="No duplicate candidate"/>
  </r>
  <r>
    <s v="4561ad20-4ca2-4a37-b71a-dbce319c18a6"/>
    <s v="LED100554"/>
    <d v="2024-02-18T00:00:00"/>
    <d v="2024-02-18T00:00:00"/>
    <n v="440"/>
    <n v="440"/>
    <n v="0"/>
    <n v="0"/>
    <s v="NEFT"/>
    <s v="NEFT PAYMENT"/>
    <x v="0"/>
    <s v="Exact reference + amount + date + type"/>
    <n v="100"/>
    <x v="0"/>
    <s v="No"/>
    <s v="No duplicate candidate"/>
  </r>
  <r>
    <s v="d61c1b73-4e1e-4a4b-b099-4c8327dec7e8"/>
    <s v="LED100555"/>
    <d v="2024-02-19T00:00:00"/>
    <d v="2024-02-19T00:00:00"/>
    <n v="80"/>
    <n v="80"/>
    <n v="0"/>
    <n v="0"/>
    <s v="UPI/44160"/>
    <s v="UPI PAYMENT/44160"/>
    <x v="0"/>
    <s v="Exact amount + date + transaction type"/>
    <n v="95"/>
    <x v="0"/>
    <s v="No"/>
    <s v="No duplicate candidate"/>
  </r>
  <r>
    <s v="077bbc95-956c-4f2d-82cf-cacf04660222"/>
    <s v="LED100556"/>
    <d v="2024-02-19T00:00:00"/>
    <d v="2024-02-19T00:00:00"/>
    <n v="40"/>
    <n v="40"/>
    <n v="0"/>
    <n v="0"/>
    <s v="UPI/40501/"/>
    <s v="UPI PAYMENT/40501/"/>
    <x v="0"/>
    <s v="Exact amount + date + transaction type"/>
    <n v="95"/>
    <x v="0"/>
    <s v="No"/>
    <s v="No duplicate candidate"/>
  </r>
  <r>
    <s v="d758358b-e740-40d6-a65f-0b6d82a23718"/>
    <s v="LED100557"/>
    <d v="2024-02-19T00:00:00"/>
    <d v="2024-02-19T00:00:00"/>
    <n v="40"/>
    <n v="40"/>
    <n v="0"/>
    <n v="0"/>
    <s v="UPI/40501/"/>
    <s v="UPI PAYMENT/40501/"/>
    <x v="0"/>
    <s v="Exact amount + date + transaction type"/>
    <n v="95"/>
    <x v="0"/>
    <s v="No"/>
    <s v="No duplicate candidate"/>
  </r>
  <r>
    <s v="2b1ef787-d245-498e-9a80-5deef7e5fbf3"/>
    <s v="LED100558"/>
    <d v="2024-02-19T00:00:00"/>
    <d v="2024-02-19T00:00:00"/>
    <n v="10"/>
    <n v="10"/>
    <n v="0"/>
    <n v="0"/>
    <s v="UPI/BHARATPE"/>
    <s v="UPI PAYMENT/BHARATPE"/>
    <x v="0"/>
    <s v="Exact amount + date + transaction type"/>
    <n v="95"/>
    <x v="0"/>
    <s v="No"/>
    <s v="No duplicate candidate"/>
  </r>
  <r>
    <s v="a2ea20f3-98cc-4fdd-bdc5-482c09a70a28"/>
    <s v="LED100559"/>
    <d v="2024-02-20T00:00:00"/>
    <d v="2024-02-20T00:00:00"/>
    <n v="100"/>
    <n v="100"/>
    <n v="0"/>
    <n v="0"/>
    <s v="UPI/4417"/>
    <s v="UPI PAYMENT/4417"/>
    <x v="0"/>
    <s v="Exact amount + date + transaction type"/>
    <n v="95"/>
    <x v="0"/>
    <s v="No"/>
    <s v="No duplicate candidate"/>
  </r>
  <r>
    <s v="e402d2ed-3f56-4017-b072-e15dbe3ff156"/>
    <s v="LED100560"/>
    <d v="2024-02-20T00:00:00"/>
    <d v="2024-02-20T00:00:00"/>
    <n v="290"/>
    <n v="290"/>
    <n v="0"/>
    <n v="0"/>
    <s v="UPI/PAYTM"/>
    <s v="UPI PAYMENT/PAYTM"/>
    <x v="0"/>
    <s v="Exact amount + date + transaction type"/>
    <n v="95"/>
    <x v="0"/>
    <s v="No"/>
    <s v="No duplicate candidate"/>
  </r>
  <r>
    <s v="562e1a89-513e-4a1c-b585-9ca61edec1b0"/>
    <s v="LED100561"/>
    <d v="2024-02-21T00:00:00"/>
    <d v="2024-02-21T00:00:00"/>
    <n v="130"/>
    <n v="130"/>
    <n v="0"/>
    <n v="0"/>
    <s v="UPI/GPAY"/>
    <s v="UPI PAYMENT/GPAY"/>
    <x v="0"/>
    <s v="Exact amount + date + transaction type"/>
    <n v="95"/>
    <x v="0"/>
    <s v="No"/>
    <s v="No duplicate candidate"/>
  </r>
  <r>
    <s v="e976a032-cc2a-4722-aa49-3899c4aadbfd"/>
    <s v="LED100562"/>
    <d v="2024-02-22T00:00:00"/>
    <d v="2024-02-22T00:00:00"/>
    <n v="3600"/>
    <n v="3600"/>
    <n v="0"/>
    <n v="0"/>
    <s v="NEFT"/>
    <s v="NEFT PAYMENT"/>
    <x v="0"/>
    <s v="Exact reference + amount + date + type"/>
    <n v="100"/>
    <x v="0"/>
    <s v="No"/>
    <s v="No duplicate candidate"/>
  </r>
  <r>
    <s v="f4393fd4-814a-4c06-b9f3-cb0a6b555638"/>
    <s v="LED100563"/>
    <d v="2024-02-22T00:00:00"/>
    <d v="2024-02-22T00:00:00"/>
    <n v="40"/>
    <n v="40"/>
    <n v="0"/>
    <n v="0"/>
    <s v="UPI/44194"/>
    <s v="UPI PAYMENT/44194"/>
    <x v="0"/>
    <s v="Exact amount + date + transaction type"/>
    <n v="95"/>
    <x v="0"/>
    <s v="No"/>
    <s v="No duplicate candidate"/>
  </r>
  <r>
    <s v="5905637d-1510-4729-90b5-c8b29f8a2f57"/>
    <s v="LED100564"/>
    <d v="2024-02-22T00:00:00"/>
    <d v="2024-02-22T00:00:00"/>
    <n v="25"/>
    <n v="25"/>
    <n v="0"/>
    <n v="0"/>
    <s v="UPI/PAYTM"/>
    <s v="UPI PAYMENT/PAYTM"/>
    <x v="0"/>
    <s v="Exact amount + date + transaction type"/>
    <n v="95"/>
    <x v="0"/>
    <s v="No"/>
    <s v="No duplicate candidate"/>
  </r>
  <r>
    <s v="2117d0d3-a975-4c98-8ee9-593fc980872e"/>
    <s v="LED100565"/>
    <d v="2024-02-22T00:00:00"/>
    <d v="2024-02-22T00:00:00"/>
    <n v="15"/>
    <n v="15"/>
    <n v="0"/>
    <n v="0"/>
    <s v="Gpay BILL Payment"/>
    <s v="GPAY BILL PAYMENT"/>
    <x v="0"/>
    <s v="Exact amount + date + transaction type"/>
    <n v="95"/>
    <x v="0"/>
    <s v="No"/>
    <s v="No duplicate candidate"/>
  </r>
  <r>
    <s v="fdb8846f-2141-4a94-afb9-bf0d660b403e"/>
    <s v="LED100566"/>
    <d v="2024-02-22T00:00:00"/>
    <d v="2024-02-22T00:00:00"/>
    <n v="19"/>
    <n v="19"/>
    <n v="0"/>
    <n v="0"/>
    <s v="UPI/EURONETGPAY"/>
    <s v="UPI PAYMENT/EURONETGPAY"/>
    <x v="0"/>
    <s v="Exact amount + date + transaction type"/>
    <n v="95"/>
    <x v="0"/>
    <s v="No"/>
    <s v="No duplicate candidate"/>
  </r>
  <r>
    <s v="39d0261e-e3a6-4b5b-b904-f5a574b2fd8c"/>
    <s v="LED100567"/>
    <d v="2024-02-23T00:00:00"/>
    <d v="2024-02-23T00:00:00"/>
    <n v="200"/>
    <n v="200"/>
    <n v="0"/>
    <n v="0"/>
    <s v="UPI/40543//U"/>
    <s v="UPI PAYMENT/40543//U"/>
    <x v="0"/>
    <s v="Exact amount + date + transaction type"/>
    <n v="95"/>
    <x v="0"/>
    <s v="No"/>
    <s v="No duplicate candidate"/>
  </r>
  <r>
    <s v="1a13197a-7581-4fe9-8df2-6ce1c3ab68d2"/>
    <s v="LED100869"/>
    <d v="2024-02-23T00:00:00"/>
    <d v="2024-05-10T00:00:00"/>
    <n v="20"/>
    <n v="20"/>
    <n v="0"/>
    <n v="77"/>
    <s v="UPI/BHARATPE"/>
    <s v="UPI PAYMENT/BHARATPE"/>
    <x v="1"/>
    <s v="Same amount + high description similarity 100% but date differs by 77 days"/>
    <n v="60"/>
    <x v="2"/>
    <s v="No"/>
    <s v="No duplicate candidate"/>
  </r>
  <r>
    <s v="7c4343de-fef1-4103-a67b-96359536988c"/>
    <s v="LED100569"/>
    <d v="2024-02-23T00:00:00"/>
    <d v="2024-02-23T00:00:00"/>
    <n v="40"/>
    <n v="40"/>
    <n v="0"/>
    <n v="0"/>
    <s v="UPI/PAYTM"/>
    <s v="UPI PAYMENT/PAYTM"/>
    <x v="0"/>
    <s v="Exact amount + date + transaction type"/>
    <n v="95"/>
    <x v="0"/>
    <s v="No"/>
    <s v="No duplicate candidate"/>
  </r>
  <r>
    <s v="76de83a7-ec01-4af0-8652-8b5825712cfc"/>
    <s v="LED100570"/>
    <d v="2024-02-24T00:00:00"/>
    <d v="2024-02-24T00:00:00"/>
    <n v="35"/>
    <n v="35"/>
    <n v="0"/>
    <n v="0"/>
    <s v="UPI/40552"/>
    <s v="UPI PAYMENT/40552"/>
    <x v="0"/>
    <s v="Exact amount + date + transaction type"/>
    <n v="95"/>
    <x v="0"/>
    <s v="No"/>
    <s v="No duplicate candidate"/>
  </r>
  <r>
    <s v="6b6c4e13-5aac-4518-a71b-f26c60a2a75d"/>
    <s v="LED100571"/>
    <d v="2024-02-24T00:00:00"/>
    <d v="2024-02-24T00:00:00"/>
    <n v="20000"/>
    <n v="20000"/>
    <n v="0"/>
    <n v="0"/>
    <s v="UPI/44219/-2ybl/Pa"/>
    <s v="UPI PAYMENT/44219/-2YBL/PA"/>
    <x v="0"/>
    <s v="Exact amount + date + transaction type"/>
    <n v="95"/>
    <x v="0"/>
    <s v="No"/>
    <s v="No duplicate candidate"/>
  </r>
  <r>
    <s v="a24223e8-7dd5-4bcc-8828-576bbd20077e"/>
    <s v="LED100572"/>
    <d v="2024-02-24T00:00:00"/>
    <d v="2024-02-24T00:00:00"/>
    <n v="200"/>
    <n v="200"/>
    <n v="0"/>
    <n v="0"/>
    <s v="UPI/40552//U"/>
    <s v="UPI PAYMENT/40552//U"/>
    <x v="0"/>
    <s v="Exact amount + date + transaction type"/>
    <n v="95"/>
    <x v="0"/>
    <s v="No"/>
    <s v="No duplicate candidate"/>
  </r>
  <r>
    <s v="9fe6046f-e43d-40dd-ac7b-d82f76c2e355"/>
    <s v="LED100573"/>
    <d v="2024-02-25T00:00:00"/>
    <d v="2024-02-25T00:00:00"/>
    <n v="20000"/>
    <n v="20000"/>
    <n v="0"/>
    <n v="0"/>
    <s v="UPI/40563"/>
    <s v="UPI PAYMENT/40563"/>
    <x v="0"/>
    <s v="Exact amount + date + transaction type"/>
    <n v="95"/>
    <x v="0"/>
    <s v="No"/>
    <s v="No duplicate candidate"/>
  </r>
  <r>
    <s v="d3ba77c6-0c56-498a-9fc2-2bc8b61800b4"/>
    <s v="LED100574"/>
    <d v="2024-02-25T00:00:00"/>
    <d v="2024-02-25T00:00:00"/>
    <n v="100"/>
    <n v="100"/>
    <n v="0"/>
    <n v="0"/>
    <s v="UPI/40564//U"/>
    <s v="UPI PAYMENT/40564//U"/>
    <x v="0"/>
    <s v="Exact amount + date + transaction type"/>
    <n v="95"/>
    <x v="0"/>
    <s v="No"/>
    <s v="No duplicate candidate"/>
  </r>
  <r>
    <s v="e8ce2f81-4214-4218-939d-6d5930874d98"/>
    <s v="LED100575"/>
    <d v="2024-02-25T00:00:00"/>
    <d v="2024-02-25T00:00:00"/>
    <n v="100"/>
    <n v="100"/>
    <n v="0"/>
    <n v="0"/>
    <s v="UPI/44224"/>
    <s v="UPI PAYMENT/44224"/>
    <x v="0"/>
    <s v="Exact amount + date + transaction type"/>
    <n v="95"/>
    <x v="0"/>
    <s v="No"/>
    <s v="No duplicate candidate"/>
  </r>
  <r>
    <s v="b9b53ed3-3f7f-49fb-bd7f-b79ef18b5882"/>
    <s v="LED100576"/>
    <d v="2024-02-25T00:00:00"/>
    <d v="2024-02-25T00:00:00"/>
    <n v="19"/>
    <n v="19"/>
    <n v="0"/>
    <n v="0"/>
    <s v="UPI/EURONETGPAY"/>
    <s v="UPI PAYMENT/EURONETGPAY"/>
    <x v="0"/>
    <s v="Exact amount + date + transaction type"/>
    <n v="95"/>
    <x v="0"/>
    <s v="No"/>
    <s v="No duplicate candidate"/>
  </r>
  <r>
    <s v="aa5b784e-f688-48fa-8dbd-3d6a39c30bac"/>
    <s v="LED100577"/>
    <d v="2024-02-25T00:00:00"/>
    <d v="2024-02-25T00:00:00"/>
    <n v="20000"/>
    <n v="20000"/>
    <n v="0"/>
    <n v="0"/>
    <s v="UPI/4422"/>
    <s v="UPI PAYMENT/4422"/>
    <x v="0"/>
    <s v="Exact amount + date + transaction type"/>
    <n v="95"/>
    <x v="0"/>
    <s v="No"/>
    <s v="No duplicate candidate"/>
  </r>
  <r>
    <s v="0959ae69-6542-4d98-a6a5-addc16ed8a2e"/>
    <s v="LED100578"/>
    <d v="2024-02-26T00:00:00"/>
    <d v="2024-02-26T00:00:00"/>
    <n v="60"/>
    <n v="60"/>
    <n v="0"/>
    <n v="0"/>
    <s v="UPI/44239"/>
    <s v="UPI PAYMENT/44239"/>
    <x v="0"/>
    <s v="Exact amount + date + transaction type"/>
    <n v="95"/>
    <x v="0"/>
    <s v="No"/>
    <s v="No duplicate candidate"/>
  </r>
  <r>
    <s v="cb3e84dd-a910-4a75-a81c-9b8fd8108fd9"/>
    <s v="LED100579"/>
    <d v="2024-02-27T00:00:00"/>
    <d v="2024-02-27T00:00:00"/>
    <n v="10"/>
    <n v="10"/>
    <n v="0"/>
    <n v="0"/>
    <s v="UPI/BHARATPE"/>
    <s v="UPI PAYMENT/BHARATPE"/>
    <x v="0"/>
    <s v="Exact amount + date + transaction type"/>
    <n v="95"/>
    <x v="0"/>
    <s v="No"/>
    <s v="No duplicate candidate"/>
  </r>
  <r>
    <s v="b2586b28-ae7f-4826-965d-282c0bc48d1b"/>
    <s v="LED100580"/>
    <d v="2024-02-28T00:00:00"/>
    <d v="2024-02-28T00:00:00"/>
    <n v="100"/>
    <n v="100"/>
    <n v="0"/>
    <n v="0"/>
    <s v="UPI/40597//U"/>
    <s v="UPI PAYMENT/40597//U"/>
    <x v="0"/>
    <s v="Exact amount + date + transaction type"/>
    <n v="95"/>
    <x v="0"/>
    <s v="No"/>
    <s v="No duplicate candidate"/>
  </r>
  <r>
    <s v="21384d30-e170-4c75-bd9d-c15b3f0479ed"/>
    <s v="LED100581"/>
    <d v="2024-02-28T00:00:00"/>
    <d v="2024-02-28T00:00:00"/>
    <n v="50"/>
    <n v="50"/>
    <n v="0"/>
    <n v="0"/>
    <s v="UPI/4425"/>
    <s v="UPI PAYMENT/4425"/>
    <x v="0"/>
    <s v="Exact amount + date + transaction type"/>
    <n v="95"/>
    <x v="0"/>
    <s v="No"/>
    <s v="No duplicate candidate"/>
  </r>
  <r>
    <s v="d2ba0a4e-dcd6-46fb-87f3-be44a3a569a5"/>
    <s v="LED100582"/>
    <d v="2024-02-28T00:00:00"/>
    <d v="2024-02-28T00:00:00"/>
    <n v="140"/>
    <n v="140"/>
    <n v="0"/>
    <n v="0"/>
    <s v="UPI/PAYTM"/>
    <s v="UPI PAYMENT/PAYTM"/>
    <x v="0"/>
    <s v="Exact amount + date + transaction type"/>
    <n v="95"/>
    <x v="0"/>
    <s v="No"/>
    <s v="No duplicate candidate"/>
  </r>
  <r>
    <s v="be18d1f7-6e51-4cbb-8549-b380008a41fa"/>
    <s v="LED100583"/>
    <d v="2024-02-29T00:00:00"/>
    <d v="2024-02-29T00:00:00"/>
    <n v="500"/>
    <n v="500"/>
    <n v="0"/>
    <n v="0"/>
    <s v="UPI/40602"/>
    <s v="UPI PAYMENT/40602"/>
    <x v="0"/>
    <s v="Exact amount + date + transaction type"/>
    <n v="95"/>
    <x v="0"/>
    <s v="No"/>
    <s v="No duplicate candidate"/>
  </r>
  <r>
    <s v="8762ab07-fefd-41fd-b8d7-3d3232acf374"/>
    <s v="LED100584"/>
    <d v="2024-02-29T00:00:00"/>
    <d v="2024-02-29T00:00:00"/>
    <n v="200"/>
    <n v="200"/>
    <n v="0"/>
    <n v="0"/>
    <s v="UPI/44268/-"/>
    <s v="UPI PAYMENT/44268/-"/>
    <x v="0"/>
    <s v="Exact amount + date + transaction type"/>
    <n v="95"/>
    <x v="0"/>
    <s v="No"/>
    <s v="No duplicate candidate"/>
  </r>
  <r>
    <s v="f81bb60c-6adc-4719-a457-91d2dd8231ab"/>
    <s v="LED100585"/>
    <d v="2024-03-01T00:00:00"/>
    <d v="2024-03-01T00:00:00"/>
    <n v="500"/>
    <n v="500"/>
    <n v="0"/>
    <n v="0"/>
    <s v="UPI/44272"/>
    <s v="UPI PAYMENT/44272"/>
    <x v="0"/>
    <s v="Exact amount + date + transaction type"/>
    <n v="95"/>
    <x v="0"/>
    <s v="No"/>
    <s v="No duplicate candidate"/>
  </r>
  <r>
    <s v="ff4cf795-4d04-435f-8499-c39c361e04f9"/>
    <s v="LED100586"/>
    <d v="2024-03-01T00:00:00"/>
    <d v="2024-03-01T00:00:00"/>
    <n v="50"/>
    <n v="50"/>
    <n v="0"/>
    <n v="0"/>
    <s v="UPI/40618/-P"/>
    <s v="UPI PAYMENT/40618/-P"/>
    <x v="0"/>
    <s v="Exact amount + date + transaction type"/>
    <n v="95"/>
    <x v="0"/>
    <s v="No"/>
    <s v="No duplicate candidate"/>
  </r>
  <r>
    <s v="0459f55e-d37d-46d5-ab22-384bbde0a291"/>
    <s v="LED100587"/>
    <d v="2024-03-02T00:00:00"/>
    <d v="2024-03-02T00:00:00"/>
    <n v="10"/>
    <n v="10"/>
    <n v="0"/>
    <n v="0"/>
    <s v="UPI/44283"/>
    <s v="UPI PAYMENT/44283"/>
    <x v="1"/>
    <s v="Amount + type match with description similarity 100%"/>
    <n v="85"/>
    <x v="1"/>
    <s v="No"/>
    <s v="No duplicate candidate"/>
  </r>
  <r>
    <s v="df9253c6-51a1-44c1-9037-7f73073ef3d5"/>
    <s v="LED100588"/>
    <d v="2024-03-02T00:00:00"/>
    <d v="2024-03-02T00:00:00"/>
    <n v="10"/>
    <n v="10"/>
    <n v="0"/>
    <n v="0"/>
    <s v="UPI/BHARATPE"/>
    <s v="UPI PAYMENT/BHARATPE"/>
    <x v="0"/>
    <s v="Exact amount + date + transaction type"/>
    <n v="95"/>
    <x v="0"/>
    <s v="No"/>
    <s v="No duplicate candidate"/>
  </r>
  <r>
    <s v="41680136-08c1-4b68-9061-d1b16433eb83"/>
    <s v="LED100589"/>
    <d v="2024-03-03T00:00:00"/>
    <d v="2024-03-03T00:00:00"/>
    <n v="95"/>
    <n v="95"/>
    <n v="0"/>
    <n v="0"/>
    <s v="UPI/40630"/>
    <s v="UPI PAYMENT/40630"/>
    <x v="0"/>
    <s v="Exact amount + date + transaction type"/>
    <n v="95"/>
    <x v="0"/>
    <s v="No"/>
    <s v="No duplicate candidate"/>
  </r>
  <r>
    <s v="ce328726-c42d-4af8-bb36-e3f6c52c780a"/>
    <s v="LED100590"/>
    <d v="2024-03-03T00:00:00"/>
    <d v="2024-03-03T00:00:00"/>
    <n v="40"/>
    <n v="40"/>
    <n v="0"/>
    <n v="0"/>
    <s v="UPI/GPAY"/>
    <s v="UPI PAYMENT/GPAY"/>
    <x v="0"/>
    <s v="Exact amount + date + transaction type"/>
    <n v="95"/>
    <x v="0"/>
    <s v="No"/>
    <s v="No duplicate candidate"/>
  </r>
  <r>
    <s v="47710eaf-c809-45b1-8bc3-887f7d0bc2a2"/>
    <s v="LED100591"/>
    <d v="2024-03-03T00:00:00"/>
    <d v="2024-03-03T00:00:00"/>
    <n v="55"/>
    <n v="55"/>
    <n v="0"/>
    <n v="0"/>
    <s v="UPI/40633"/>
    <s v="UPI PAYMENT/40633"/>
    <x v="0"/>
    <s v="Exact amount + date + transaction type"/>
    <n v="95"/>
    <x v="0"/>
    <s v="No"/>
    <s v="No duplicate candidate"/>
  </r>
  <r>
    <s v="ddb6d9e7-a185-41d8-bdf5-2018193c0e21"/>
    <s v="LED100592"/>
    <d v="2024-03-03T00:00:00"/>
    <d v="2024-03-03T00:00:00"/>
    <n v="10"/>
    <n v="10"/>
    <n v="0"/>
    <n v="0"/>
    <s v="UPI/44292"/>
    <s v="UPI PAYMENT/44292"/>
    <x v="0"/>
    <s v="Exact amount + date + transaction type"/>
    <n v="95"/>
    <x v="0"/>
    <s v="No"/>
    <s v="No duplicate candidate"/>
  </r>
  <r>
    <s v="2470f599-b47c-4ddc-b9bd-89149c28acdb"/>
    <s v="LED100593"/>
    <d v="2024-03-03T00:00:00"/>
    <d v="2024-03-03T00:00:00"/>
    <n v="80"/>
    <n v="80"/>
    <n v="0"/>
    <n v="0"/>
    <s v="UPI/BHARATPE6"/>
    <s v="UPI PAYMENT/BHARATPE6"/>
    <x v="0"/>
    <s v="Exact amount + date + transaction type"/>
    <n v="95"/>
    <x v="0"/>
    <s v="No"/>
    <s v="No duplicate candidate"/>
  </r>
  <r>
    <s v="0a895b35-b757-4b4a-97c3-2ec7fb404791"/>
    <s v="LED100594"/>
    <d v="2024-03-03T00:00:00"/>
    <d v="2024-03-03T00:00:00"/>
    <n v="200"/>
    <n v="200"/>
    <n v="0"/>
    <n v="0"/>
    <s v="UPI/4429"/>
    <s v="UPI PAYMENT/4429"/>
    <x v="0"/>
    <s v="Exact amount + date + transaction type"/>
    <n v="95"/>
    <x v="0"/>
    <s v="No"/>
    <s v="No duplicate candidate"/>
  </r>
  <r>
    <s v="93f862fe-63f1-4f6b-ada2-1f7fbdb9717b"/>
    <s v="LED100595"/>
    <d v="2024-03-03T00:00:00"/>
    <d v="2024-03-03T00:00:00"/>
    <n v="18"/>
    <n v="18"/>
    <n v="0"/>
    <n v="0"/>
    <s v="UPI/40635"/>
    <s v="UPI PAYMENT/40635"/>
    <x v="0"/>
    <s v="Exact amount + date + transaction type"/>
    <n v="95"/>
    <x v="0"/>
    <s v="No"/>
    <s v="No duplicate candidate"/>
  </r>
  <r>
    <s v="47808daf-cee5-47ae-b6be-8addd0856de9"/>
    <s v="LED100596"/>
    <d v="2024-03-03T00:00:00"/>
    <d v="2024-03-03T00:00:00"/>
    <n v="130"/>
    <n v="130"/>
    <n v="0"/>
    <n v="0"/>
    <s v="UPI/GPAY"/>
    <s v="UPI PAYMENT/GPAY"/>
    <x v="0"/>
    <s v="Exact amount + date + transaction type"/>
    <n v="95"/>
    <x v="0"/>
    <s v="No"/>
    <s v="No duplicate candidate"/>
  </r>
  <r>
    <s v="b306cfe4-e1ff-4d81-ba46-6f1b1762ec46"/>
    <s v="LED100597"/>
    <d v="2024-03-04T00:00:00"/>
    <d v="2024-03-04T00:00:00"/>
    <n v="20"/>
    <n v="20"/>
    <n v="0"/>
    <n v="0"/>
    <s v="UPI/44308"/>
    <s v="UPI PAYMENT/44308"/>
    <x v="0"/>
    <s v="Exact amount + date + transaction type"/>
    <n v="95"/>
    <x v="0"/>
    <s v="No"/>
    <s v="No duplicate candidate"/>
  </r>
  <r>
    <s v="3cc02484-fa72-4012-95d6-d8f61c3fa198"/>
    <s v="LED100598"/>
    <d v="2024-03-04T00:00:00"/>
    <d v="2024-03-04T00:00:00"/>
    <n v="100"/>
    <n v="100"/>
    <n v="0"/>
    <n v="0"/>
    <s v="UPI/40640/U"/>
    <s v="UPI PAYMENT/40640/U"/>
    <x v="1"/>
    <s v="Amount + type match with description similarity 100%"/>
    <n v="85"/>
    <x v="1"/>
    <s v="Yes"/>
    <s v="Duplicate candidate detected"/>
  </r>
  <r>
    <s v="45f0884d-d67a-4e6d-9ecb-d6fd20ae6720"/>
    <s v="LED100599"/>
    <d v="2024-03-04T00:00:00"/>
    <d v="2024-03-04T00:00:00"/>
    <n v="100"/>
    <n v="100"/>
    <n v="0"/>
    <n v="0"/>
    <s v="UPI/40640/U"/>
    <s v="UPI PAYMENT/40640/U"/>
    <x v="0"/>
    <s v="Exact amount + date + transaction type"/>
    <n v="95"/>
    <x v="0"/>
    <s v="Yes"/>
    <s v="Duplicate candidate detected"/>
  </r>
  <r>
    <s v="6b0c4066-498c-40cb-b797-b7619f6d154b"/>
    <s v="LED100600"/>
    <d v="2024-03-04T00:00:00"/>
    <d v="2024-03-04T00:00:00"/>
    <n v="55"/>
    <n v="55"/>
    <n v="0"/>
    <n v="0"/>
    <s v="UPI/44306"/>
    <s v="UPI PAYMENT/44306"/>
    <x v="0"/>
    <s v="Exact amount + date + transaction type"/>
    <n v="95"/>
    <x v="0"/>
    <s v="No"/>
    <s v="No duplicate candidate"/>
  </r>
  <r>
    <s v="5d78ab92-3f74-4e01-855a-52c90070705e"/>
    <s v="LED100601"/>
    <d v="2024-03-04T00:00:00"/>
    <d v="2024-03-06T00:00:00"/>
    <n v="30"/>
    <n v="30"/>
    <n v="0"/>
    <n v="2"/>
    <s v="UPI/44301/"/>
    <s v="UPI PAYMENT/44301/"/>
    <x v="3"/>
    <s v="Amount + type match, date difference 2 day(s), description similarity 100%"/>
    <n v="75"/>
    <x v="1"/>
    <s v="No"/>
    <s v="No duplicate candidate"/>
  </r>
  <r>
    <s v="d96af22f-b6aa-4d88-9850-d4334015e1a1"/>
    <s v="LED100602"/>
    <d v="2024-03-04T00:00:00"/>
    <d v="2024-03-04T00:00:00"/>
    <n v="60"/>
    <n v="60"/>
    <n v="0"/>
    <n v="0"/>
    <s v="UPI/44304"/>
    <s v="UPI PAYMENT/44304"/>
    <x v="0"/>
    <s v="Exact amount + date + transaction type"/>
    <n v="95"/>
    <x v="0"/>
    <s v="No"/>
    <s v="No duplicate candidate"/>
  </r>
  <r>
    <s v="54a5ad39-1ba0-4a81-8eea-631e0b5ba234"/>
    <s v="LED100603"/>
    <d v="2024-03-04T00:00:00"/>
    <d v="2024-03-04T00:00:00"/>
    <n v="10"/>
    <n v="10"/>
    <n v="0"/>
    <n v="0"/>
    <s v="UPI/PAYTM"/>
    <s v="UPI PAYMENT/PAYTM"/>
    <x v="1"/>
    <s v="Amount + type match with description similarity 100%"/>
    <n v="85"/>
    <x v="1"/>
    <s v="No"/>
    <s v="No duplicate candidate"/>
  </r>
  <r>
    <s v="6a0df95a-67ff-4421-ac44-dedfb7142ec0"/>
    <s v="LED100604"/>
    <d v="2024-03-04T00:00:00"/>
    <d v="2024-03-04T00:00:00"/>
    <n v="10"/>
    <n v="10"/>
    <n v="0"/>
    <n v="0"/>
    <s v="UPI/44304"/>
    <s v="UPI PAYMENT/44304"/>
    <x v="1"/>
    <s v="Amount + type match with description similarity 100%"/>
    <n v="85"/>
    <x v="1"/>
    <s v="Yes"/>
    <s v="Duplicate candidate detected"/>
  </r>
  <r>
    <s v="c401dde9-6473-4b2e-aea7-fdfb985796ba"/>
    <s v="LED100605"/>
    <d v="2024-03-05T00:00:00"/>
    <d v="2024-03-05T00:00:00"/>
    <n v="241"/>
    <n v="240.9"/>
    <n v="0"/>
    <n v="0"/>
    <s v="Gpay BILL Payment"/>
    <s v="GPAY BILL PAYMENT"/>
    <x v="0"/>
    <s v="Exact amount + date + transaction type"/>
    <n v="95"/>
    <x v="0"/>
    <s v="No"/>
    <s v="No duplicate candidate"/>
  </r>
  <r>
    <s v="93d3fab1-dd94-43d3-bddc-51081ccb90b3"/>
    <s v="LED100606"/>
    <d v="2024-03-06T00:00:00"/>
    <d v="2024-03-06T00:00:00"/>
    <n v="60"/>
    <n v="60"/>
    <n v="0"/>
    <n v="0"/>
    <s v="UPI/40664"/>
    <s v="UPI PAYMENT/40664"/>
    <x v="1"/>
    <s v="Amount + type match with description similarity 100%"/>
    <n v="85"/>
    <x v="1"/>
    <s v="Yes"/>
    <s v="Duplicate candidate detected"/>
  </r>
  <r>
    <s v="33a1cf04-ddbe-41d4-951f-633e855cdba3"/>
    <s v="LED100607"/>
    <d v="2024-03-06T00:00:00"/>
    <d v="2024-03-06T00:00:00"/>
    <n v="420"/>
    <n v="420"/>
    <n v="0"/>
    <n v="0"/>
    <s v="UPI/44325"/>
    <s v="UPI PAYMENT/44325"/>
    <x v="0"/>
    <s v="Exact amount + date + transaction type"/>
    <n v="95"/>
    <x v="0"/>
    <s v="No"/>
    <s v="No duplicate candidate"/>
  </r>
  <r>
    <s v="c3f1f389-51b9-483d-a8e8-aa8c6ca9ca29"/>
    <s v="LED100608"/>
    <d v="2024-03-06T00:00:00"/>
    <d v="2024-03-06T00:00:00"/>
    <n v="100"/>
    <n v="100"/>
    <n v="0"/>
    <n v="0"/>
    <s v="UPI/44328/"/>
    <s v="UPI PAYMENT/44328/"/>
    <x v="1"/>
    <s v="Amount + type match with description similarity 100%"/>
    <n v="85"/>
    <x v="1"/>
    <s v="No"/>
    <s v="No duplicate candidate"/>
  </r>
  <r>
    <s v="260b0276-87f2-44b1-bbb0-6716e3a081ac"/>
    <s v="LED100609"/>
    <d v="2024-03-06T00:00:00"/>
    <d v="2024-03-06T00:00:00"/>
    <n v="100"/>
    <n v="100"/>
    <n v="0"/>
    <n v="0"/>
    <s v="UPI/44323/a"/>
    <s v="UPI PAYMENT/44323/A"/>
    <x v="1"/>
    <s v="Amount + type match with description similarity 100%"/>
    <n v="85"/>
    <x v="1"/>
    <s v="No"/>
    <s v="No duplicate candidate"/>
  </r>
  <r>
    <s v="f6b6ca0d-5449-4012-8397-db10fba6fdc5"/>
    <s v="LED100610"/>
    <d v="2024-03-06T00:00:00"/>
    <d v="2024-03-06T00:00:00"/>
    <n v="140"/>
    <n v="140"/>
    <n v="0"/>
    <n v="0"/>
    <s v="UPI/PAYTM"/>
    <s v="UPI PAYMENT/PAYTM"/>
    <x v="0"/>
    <s v="Exact amount + date + transaction type"/>
    <n v="95"/>
    <x v="0"/>
    <s v="No"/>
    <s v="No duplicate candidate"/>
  </r>
  <r>
    <s v="fca1fae7-6068-481d-a250-5ddf8f3fb6e8"/>
    <s v="LED100611"/>
    <d v="2024-03-06T00:00:00"/>
    <d v="2024-03-06T00:00:00"/>
    <n v="100"/>
    <n v="100"/>
    <n v="0"/>
    <n v="0"/>
    <s v="UPI/4432"/>
    <s v="UPI PAYMENT/4432"/>
    <x v="0"/>
    <s v="Exact amount + date + transaction type"/>
    <n v="95"/>
    <x v="0"/>
    <s v="No"/>
    <s v="No duplicate candidate"/>
  </r>
  <r>
    <s v="0362ec16-2086-46cb-a139-93d985922644"/>
    <s v="LED100612"/>
    <d v="2024-03-07T00:00:00"/>
    <d v="2024-03-07T00:00:00"/>
    <n v="4600"/>
    <n v="4600"/>
    <n v="0"/>
    <n v="0"/>
    <s v="UPI/40675/"/>
    <s v="UPI PAYMENT/40675/"/>
    <x v="0"/>
    <s v="Exact amount + date + transaction type"/>
    <n v="95"/>
    <x v="0"/>
    <s v="No"/>
    <s v="No duplicate candidate"/>
  </r>
  <r>
    <s v="95752022-958b-4366-83c6-f73b02729b1f"/>
    <s v="LED100613"/>
    <d v="2024-03-08T00:00:00"/>
    <d v="2024-03-08T00:00:00"/>
    <n v="22"/>
    <n v="22"/>
    <n v="0"/>
    <n v="0"/>
    <s v="UPI/BHARATPE"/>
    <s v="UPI PAYMENT/BHARATPE"/>
    <x v="0"/>
    <s v="Exact amount + date + transaction type"/>
    <n v="95"/>
    <x v="0"/>
    <s v="No"/>
    <s v="No duplicate candidate"/>
  </r>
  <r>
    <s v="436348d2-b929-4920-a467-6652d7d83b11"/>
    <s v="LED100614"/>
    <d v="2024-03-08T00:00:00"/>
    <d v="2024-03-08T00:00:00"/>
    <n v="10"/>
    <n v="10"/>
    <n v="0"/>
    <n v="0"/>
    <s v="UPI/BHARATPE"/>
    <s v="UPI PAYMENT/BHARATPE"/>
    <x v="0"/>
    <s v="Exact amount + date + transaction type"/>
    <n v="95"/>
    <x v="0"/>
    <s v="No"/>
    <s v="No duplicate candidate"/>
  </r>
  <r>
    <s v="fc243606-81bf-4c65-bd3e-59b6b61803b0"/>
    <s v="LED100615"/>
    <d v="2024-03-08T00:00:00"/>
    <d v="2024-03-08T00:00:00"/>
    <n v="85"/>
    <n v="85"/>
    <n v="0"/>
    <n v="0"/>
    <s v="UPI/44340"/>
    <s v="UPI PAYMENT/44340"/>
    <x v="0"/>
    <s v="Exact amount + date + transaction type"/>
    <n v="95"/>
    <x v="0"/>
    <s v="No"/>
    <s v="No duplicate candidate"/>
  </r>
  <r>
    <s v="2ae8e8f3-ec5a-4e13-a0f6-2c6ea927c5ef"/>
    <s v="LED100616"/>
    <d v="2024-03-08T00:00:00"/>
    <d v="2024-03-08T00:00:00"/>
    <n v="180"/>
    <n v="180"/>
    <n v="0"/>
    <n v="0"/>
    <s v="UPI/PAYTM"/>
    <s v="UPI PAYMENT/PAYTM"/>
    <x v="0"/>
    <s v="Exact amount + date + transaction type"/>
    <n v="95"/>
    <x v="0"/>
    <s v="No"/>
    <s v="No duplicate candidate"/>
  </r>
  <r>
    <s v="3c3c3478-b858-4753-95f7-e35212ed5234"/>
    <s v="LED100617"/>
    <d v="2024-03-09T00:00:00"/>
    <d v="2024-03-09T00:00:00"/>
    <n v="290"/>
    <n v="290"/>
    <n v="0"/>
    <n v="0"/>
    <s v="UPI/44351"/>
    <s v="UPI PAYMENT/44351"/>
    <x v="0"/>
    <s v="Exact amount + date + transaction type"/>
    <n v="95"/>
    <x v="0"/>
    <s v="No"/>
    <s v="No duplicate candidate"/>
  </r>
  <r>
    <s v="66fe3137-8eb3-4a1c-9ea0-6eef9b9192bd"/>
    <s v="LED100618"/>
    <d v="2024-03-09T00:00:00"/>
    <d v="2024-03-09T00:00:00"/>
    <n v="500"/>
    <n v="500"/>
    <n v="0"/>
    <n v="0"/>
    <s v="UPI/40696"/>
    <s v="UPI PAYMENT/40696"/>
    <x v="0"/>
    <s v="Exact amount + date + transaction type"/>
    <n v="95"/>
    <x v="0"/>
    <s v="No"/>
    <s v="No duplicate candidate"/>
  </r>
  <r>
    <s v="98754b97-26a8-4001-9dd9-50882881f4b4"/>
    <s v="LED100619"/>
    <d v="2024-03-10T00:00:00"/>
    <d v="2024-03-10T00:00:00"/>
    <n v="520"/>
    <n v="520"/>
    <n v="0"/>
    <n v="0"/>
    <s v="UPI/PAYTM"/>
    <s v="UPI PAYMENT/PAYTM"/>
    <x v="0"/>
    <s v="Exact amount + date + transaction type"/>
    <n v="95"/>
    <x v="0"/>
    <s v="No"/>
    <s v="No duplicate candidate"/>
  </r>
  <r>
    <s v="ba8ac0f2-7161-460d-96d1-a76c01939731"/>
    <s v="LED100620"/>
    <d v="2024-03-10T00:00:00"/>
    <d v="2024-03-10T00:00:00"/>
    <n v="15"/>
    <n v="15"/>
    <n v="0"/>
    <n v="0"/>
    <s v="Gpay BILL Payment"/>
    <s v="GPAY BILL PAYMENT"/>
    <x v="0"/>
    <s v="Exact amount + date + transaction type"/>
    <n v="95"/>
    <x v="0"/>
    <s v="No"/>
    <s v="No duplicate candidate"/>
  </r>
  <r>
    <s v="d56ac532-fbf2-4101-8625-64df0e39c679"/>
    <s v="LED100621"/>
    <d v="2024-03-11T00:00:00"/>
    <d v="2024-03-11T00:00:00"/>
    <n v="200"/>
    <n v="200"/>
    <n v="0"/>
    <n v="0"/>
    <s v="UPI/40714/"/>
    <s v="UPI PAYMENT/40714/"/>
    <x v="0"/>
    <s v="Exact amount + date + transaction type"/>
    <n v="95"/>
    <x v="0"/>
    <s v="No"/>
    <s v="No duplicate candidate"/>
  </r>
  <r>
    <s v="8f445b17-73be-41f5-8bf2-ea2d84374f5d"/>
    <s v="LED100622"/>
    <d v="2024-03-12T00:00:00"/>
    <d v="2024-03-12T00:00:00"/>
    <n v="1630"/>
    <n v="1630"/>
    <n v="0"/>
    <n v="0"/>
    <s v="NEFT"/>
    <s v="NEFT PAYMENT"/>
    <x v="0"/>
    <s v="Exact reference + amount + date + type"/>
    <n v="100"/>
    <x v="0"/>
    <s v="No"/>
    <s v="No duplicate candidate"/>
  </r>
  <r>
    <s v="e68fd2fa-6961-4432-8b5d-8eb6da045406"/>
    <s v="LED100623"/>
    <d v="2024-03-13T00:00:00"/>
    <d v="2024-03-13T00:00:00"/>
    <n v="140"/>
    <n v="140"/>
    <n v="0"/>
    <n v="0"/>
    <s v="NEFT"/>
    <s v="NEFT PAYMENT"/>
    <x v="0"/>
    <s v="Exact reference + amount + date + type"/>
    <n v="100"/>
    <x v="0"/>
    <s v="No"/>
    <s v="No duplicate candidate"/>
  </r>
  <r>
    <s v="5532db55-3191-4e9f-abcd-c34908dc09d2"/>
    <s v="LED100624"/>
    <d v="2024-03-13T00:00:00"/>
    <d v="2024-03-13T00:00:00"/>
    <n v="59"/>
    <n v="59"/>
    <n v="0"/>
    <n v="0"/>
    <s v="UPI/44399"/>
    <s v="UPI PAYMENT/44399"/>
    <x v="0"/>
    <s v="Exact amount + date + transaction type"/>
    <n v="95"/>
    <x v="0"/>
    <s v="No"/>
    <s v="No duplicate candidate"/>
  </r>
  <r>
    <s v="5a056440-1410-4c5a-916f-d182fb72fbf4"/>
    <s v="LED100625"/>
    <d v="2024-03-13T00:00:00"/>
    <d v="2024-03-13T00:00:00"/>
    <n v="15"/>
    <n v="15"/>
    <n v="0"/>
    <n v="0"/>
    <s v="UPI/BHARATPE"/>
    <s v="UPI PAYMENT/BHARATPE"/>
    <x v="0"/>
    <s v="Exact amount + date + transaction type"/>
    <n v="95"/>
    <x v="0"/>
    <s v="No"/>
    <s v="No duplicate candidate"/>
  </r>
  <r>
    <s v="8744a935-c9c8-4bef-a7e9-86fc94cd21a8"/>
    <s v="LED100626"/>
    <d v="2024-03-14T00:00:00"/>
    <d v="2024-03-14T00:00:00"/>
    <n v="5000"/>
    <n v="5000"/>
    <n v="0"/>
    <n v="0"/>
    <s v="UPI/40740"/>
    <s v="UPI PAYMENT/40740"/>
    <x v="0"/>
    <s v="Exact amount + date + transaction type"/>
    <n v="95"/>
    <x v="0"/>
    <s v="No"/>
    <s v="No duplicate candidate"/>
  </r>
  <r>
    <s v="f38f3e02-7a59-4fcf-bbf7-00b3948b0d77"/>
    <s v="LED100627"/>
    <d v="2024-03-14T00:00:00"/>
    <d v="2024-03-14T00:00:00"/>
    <n v="500"/>
    <n v="500"/>
    <n v="0"/>
    <n v="0"/>
    <s v="UPI/44401"/>
    <s v="UPI PAYMENT/44401"/>
    <x v="0"/>
    <s v="Exact amount + date + transaction type"/>
    <n v="95"/>
    <x v="0"/>
    <s v="No"/>
    <s v="No duplicate candidate"/>
  </r>
  <r>
    <s v="ef1a6f46-94c8-4026-a360-91d0c6658fe4"/>
    <s v="LED100628"/>
    <d v="2024-03-14T00:00:00"/>
    <d v="2024-03-14T00:00:00"/>
    <n v="200"/>
    <n v="200"/>
    <n v="0"/>
    <n v="0"/>
    <s v="UPI/44404/"/>
    <s v="UPI PAYMENT/44404/"/>
    <x v="0"/>
    <s v="Exact amount + date + transaction type"/>
    <n v="95"/>
    <x v="0"/>
    <s v="No"/>
    <s v="No duplicate candidate"/>
  </r>
  <r>
    <s v="9332a1ae-6a36-46da-8642-b73c5e7fd1d7"/>
    <s v="LED100629"/>
    <d v="2024-03-14T00:00:00"/>
    <d v="2024-03-14T00:00:00"/>
    <n v="15"/>
    <n v="15"/>
    <n v="0"/>
    <n v="0"/>
    <s v="Gpay BILL Payment"/>
    <s v="GPAY BILL PAYMENT"/>
    <x v="0"/>
    <s v="Exact amount + date + transaction type"/>
    <n v="95"/>
    <x v="0"/>
    <s v="No"/>
    <s v="No duplicate candidate"/>
  </r>
  <r>
    <s v="03f8329f-77fc-493a-98a8-e39598a1ba6d"/>
    <s v="LED100630"/>
    <d v="2024-03-14T00:00:00"/>
    <d v="2024-03-14T00:00:00"/>
    <n v="126"/>
    <n v="126"/>
    <n v="0"/>
    <n v="0"/>
    <s v="UPI/BHARATPE"/>
    <s v="UPI PAYMENT/BHARATPE"/>
    <x v="0"/>
    <s v="Exact amount + date + transaction type"/>
    <n v="95"/>
    <x v="0"/>
    <s v="No"/>
    <s v="No duplicate candidate"/>
  </r>
  <r>
    <s v="0f043ecc-3aeb-44a3-a79f-56c9c276126f"/>
    <s v="LED100631"/>
    <d v="2024-03-15T00:00:00"/>
    <d v="2024-03-15T00:00:00"/>
    <n v="300"/>
    <n v="300"/>
    <n v="0"/>
    <n v="0"/>
    <s v="NEFT"/>
    <s v="NEFT PAYMENT"/>
    <x v="0"/>
    <s v="Exact reference + amount + date + type"/>
    <n v="100"/>
    <x v="0"/>
    <s v="No"/>
    <s v="No duplicate candidate"/>
  </r>
  <r>
    <s v="aefcdc88-ef11-44d8-bc6b-36eea768c42d"/>
    <s v="LED100632"/>
    <d v="2024-03-15T00:00:00"/>
    <d v="2024-03-15T00:00:00"/>
    <n v="10"/>
    <n v="10"/>
    <n v="0"/>
    <n v="0"/>
    <s v="UPI/44416"/>
    <s v="UPI PAYMENT/44416"/>
    <x v="1"/>
    <s v="Amount + type match with description similarity 100%"/>
    <n v="85"/>
    <x v="1"/>
    <s v="No"/>
    <s v="No duplicate candidate"/>
  </r>
  <r>
    <s v="190db62e-68de-419b-8145-9827715b4a2c"/>
    <s v="LED100633"/>
    <d v="2024-03-15T00:00:00"/>
    <d v="2024-03-15T00:00:00"/>
    <n v="10"/>
    <n v="10"/>
    <n v="0"/>
    <n v="0"/>
    <s v="UPI/40754"/>
    <s v="UPI PAYMENT/40754"/>
    <x v="0"/>
    <s v="Exact amount + date + transaction type"/>
    <n v="95"/>
    <x v="0"/>
    <s v="No"/>
    <s v="No duplicate candidate"/>
  </r>
  <r>
    <s v="efe8ec9c-118e-4d64-b5b7-2245c31a541a"/>
    <s v="LED100634"/>
    <d v="2024-03-15T00:00:00"/>
    <d v="2024-03-15T00:00:00"/>
    <n v="60"/>
    <n v="60"/>
    <n v="0"/>
    <n v="0"/>
    <s v="UPI/44412"/>
    <s v="UPI PAYMENT/44412"/>
    <x v="0"/>
    <s v="Exact amount + date + transaction type"/>
    <n v="95"/>
    <x v="0"/>
    <s v="No"/>
    <s v="No duplicate candidate"/>
  </r>
  <r>
    <s v="469a9e31-c604-43a3-804a-4a065fa40981"/>
    <s v="LED100635"/>
    <d v="2024-03-15T00:00:00"/>
    <d v="2024-03-15T00:00:00"/>
    <n v="20"/>
    <n v="20"/>
    <n v="0"/>
    <n v="0"/>
    <s v="UPI/PAYTM"/>
    <s v="UPI PAYMENT/PAYTM"/>
    <x v="0"/>
    <s v="Exact amount + date + transaction type"/>
    <n v="95"/>
    <x v="0"/>
    <s v="No"/>
    <s v="No duplicate candidate"/>
  </r>
  <r>
    <s v="7d6b1ec0-0940-4f18-a559-c54b33c9d152"/>
    <s v="LED100636"/>
    <d v="2024-03-16T00:00:00"/>
    <d v="2024-03-16T00:00:00"/>
    <n v="800"/>
    <n v="800"/>
    <n v="0"/>
    <n v="0"/>
    <s v="NEFT"/>
    <s v="NEFT PAYMENT"/>
    <x v="0"/>
    <s v="Exact reference + amount + date + type"/>
    <n v="100"/>
    <x v="0"/>
    <s v="No"/>
    <s v="No duplicate candidate"/>
  </r>
  <r>
    <s v="f469aadc-068d-4845-8c97-e4ce775231a1"/>
    <s v="LED100637"/>
    <d v="2024-03-16T00:00:00"/>
    <d v="2024-03-16T00:00:00"/>
    <n v="241"/>
    <n v="240.9"/>
    <n v="0"/>
    <n v="0"/>
    <s v="Gpay BILL Payment"/>
    <s v="GPAY BILL PAYMENT"/>
    <x v="0"/>
    <s v="Exact amount + date + transaction type"/>
    <n v="95"/>
    <x v="0"/>
    <s v="No"/>
    <s v="No duplicate candidate"/>
  </r>
  <r>
    <s v="bc8eae11-ce87-4d53-a375-425b7a069146"/>
    <s v="LED100638"/>
    <d v="2024-03-17T00:00:00"/>
    <d v="2024-03-17T00:00:00"/>
    <n v="2150"/>
    <n v="2150"/>
    <n v="0"/>
    <n v="0"/>
    <s v="NEFT"/>
    <s v="NEFT PAYMENT"/>
    <x v="0"/>
    <s v="Exact reference + amount + date + type"/>
    <n v="100"/>
    <x v="0"/>
    <s v="No"/>
    <s v="No duplicate candidate"/>
  </r>
  <r>
    <s v="313bb93b-e4ba-46df-90b3-712075050537"/>
    <s v="LED100639"/>
    <d v="2024-03-17T00:00:00"/>
    <d v="2024-03-17T00:00:00"/>
    <n v="300"/>
    <n v="300"/>
    <n v="0"/>
    <n v="0"/>
    <s v="UPI/40770"/>
    <s v="UPI PAYMENT/40770"/>
    <x v="0"/>
    <s v="Exact amount + date + transaction type"/>
    <n v="95"/>
    <x v="0"/>
    <s v="No"/>
    <s v="No duplicate candidate"/>
  </r>
  <r>
    <s v="4bd90e4b-af6c-4e50-b3ff-8581ec810545"/>
    <s v="LED100640"/>
    <d v="2024-03-17T00:00:00"/>
    <d v="2024-03-17T00:00:00"/>
    <n v="19"/>
    <n v="19"/>
    <n v="0"/>
    <n v="0"/>
    <s v="Gpay BILL Payment"/>
    <s v="GPAY BILL PAYMENT"/>
    <x v="0"/>
    <s v="Exact amount + date + transaction type"/>
    <n v="95"/>
    <x v="0"/>
    <s v="No"/>
    <s v="No duplicate candidate"/>
  </r>
  <r>
    <s v="a4faed24-6ce4-4217-aa69-a7c32a52807a"/>
    <s v="LED100641"/>
    <d v="2024-03-18T00:00:00"/>
    <d v="2024-03-18T00:00:00"/>
    <n v="250"/>
    <n v="250"/>
    <n v="0"/>
    <n v="0"/>
    <s v="NEFT"/>
    <s v="NEFT PAYMENT"/>
    <x v="0"/>
    <s v="Exact reference + amount + date + type"/>
    <n v="100"/>
    <x v="0"/>
    <s v="No"/>
    <s v="No duplicate candidate"/>
  </r>
  <r>
    <s v="98d7c60c-6e18-46c6-9de5-08d369c95123"/>
    <s v="LED100642"/>
    <d v="2024-03-18T00:00:00"/>
    <d v="2024-03-18T00:00:00"/>
    <n v="10"/>
    <n v="10"/>
    <n v="0"/>
    <n v="0"/>
    <s v="UPI/40788"/>
    <s v="UPI PAYMENT/40788"/>
    <x v="0"/>
    <s v="Exact amount + date + transaction type"/>
    <n v="95"/>
    <x v="0"/>
    <s v="No"/>
    <s v="No duplicate candidate"/>
  </r>
  <r>
    <s v="9c68ab5c-e8e1-460e-8d80-c0c3968e9d30"/>
    <s v="LED100643"/>
    <d v="2024-03-19T00:00:00"/>
    <d v="2024-03-19T00:00:00"/>
    <n v="1150"/>
    <n v="1150"/>
    <n v="0"/>
    <n v="0"/>
    <s v="NEFT"/>
    <s v="NEFT PAYMENT"/>
    <x v="0"/>
    <s v="Exact reference + amount + date + type"/>
    <n v="100"/>
    <x v="0"/>
    <s v="No"/>
    <s v="No duplicate candidate"/>
  </r>
  <r>
    <s v="be13eda8-1963-422d-bb1c-30151ccf176a"/>
    <s v="LED100644"/>
    <d v="2024-03-19T00:00:00"/>
    <d v="2024-03-19T00:00:00"/>
    <n v="30"/>
    <n v="30"/>
    <n v="0"/>
    <n v="0"/>
    <s v="UPI/BHARATPE"/>
    <s v="UPI PAYMENT/BHARATPE"/>
    <x v="0"/>
    <s v="Exact amount + date + transaction type"/>
    <n v="95"/>
    <x v="0"/>
    <s v="No"/>
    <s v="No duplicate candidate"/>
  </r>
  <r>
    <s v="a204f520-c876-4853-9dd0-fd6f8856e234"/>
    <s v="LED100645"/>
    <d v="2024-03-19T00:00:00"/>
    <d v="2024-03-19T00:00:00"/>
    <n v="15"/>
    <n v="15"/>
    <n v="0"/>
    <n v="0"/>
    <s v="UPI/44458"/>
    <s v="UPI PAYMENT/44458"/>
    <x v="0"/>
    <s v="Exact amount + date + transaction type"/>
    <n v="95"/>
    <x v="0"/>
    <s v="No"/>
    <s v="No duplicate candidate"/>
  </r>
  <r>
    <s v="6e72467f-3721-48ea-9b48-461dfe1f88b1"/>
    <s v="LED100646"/>
    <d v="2024-03-19T00:00:00"/>
    <d v="2024-03-19T00:00:00"/>
    <n v="130"/>
    <n v="130"/>
    <n v="0"/>
    <n v="0"/>
    <s v="UPI/GPAY"/>
    <s v="UPI PAYMENT/GPAY"/>
    <x v="0"/>
    <s v="Exact amount + date + transaction type"/>
    <n v="95"/>
    <x v="0"/>
    <s v="No"/>
    <s v="No duplicate candidate"/>
  </r>
  <r>
    <s v="ad0d873d-e298-4bbc-a180-5bc3405ca1c9"/>
    <s v="LED100647"/>
    <d v="2024-03-19T00:00:00"/>
    <d v="2024-03-19T00:00:00"/>
    <n v="3000"/>
    <n v="3000"/>
    <n v="0"/>
    <n v="0"/>
    <s v="UPI/PAYTMUP"/>
    <s v="UPI PAYMENT/PAYTMUP"/>
    <x v="0"/>
    <s v="Exact amount + date + transaction type"/>
    <n v="95"/>
    <x v="0"/>
    <s v="No"/>
    <s v="No duplicate candidate"/>
  </r>
  <r>
    <s v="299555c9-77b1-4b40-95bc-344f4dd2a4c8"/>
    <s v="LED100648"/>
    <d v="2024-03-20T00:00:00"/>
    <d v="2024-03-20T00:00:00"/>
    <n v="920"/>
    <n v="920"/>
    <n v="0"/>
    <n v="0"/>
    <s v="NEFT"/>
    <s v="NEFT PAYMENT"/>
    <x v="0"/>
    <s v="Exact reference + amount + date + type"/>
    <n v="100"/>
    <x v="0"/>
    <s v="No"/>
    <s v="No duplicate candidate"/>
  </r>
  <r>
    <s v="7d7fc9ef-04b8-4bd9-9c9c-d0004c7e80a8"/>
    <s v="LED100649"/>
    <d v="2024-03-20T00:00:00"/>
    <d v="2024-03-20T00:00:00"/>
    <n v="12000"/>
    <n v="12000"/>
    <n v="0"/>
    <n v="0"/>
    <s v="UPI/44465"/>
    <s v="UPI PAYMENT/44465"/>
    <x v="0"/>
    <s v="Exact amount + date + transaction type"/>
    <n v="95"/>
    <x v="0"/>
    <s v="No"/>
    <s v="No duplicate candidate"/>
  </r>
  <r>
    <s v="16b89c73-9259-4655-834e-7434b64b814d"/>
    <s v="LED100650"/>
    <d v="2024-03-20T00:00:00"/>
    <d v="2024-03-20T00:00:00"/>
    <n v="500"/>
    <n v="500"/>
    <n v="0"/>
    <n v="0"/>
    <s v="UPI/40806"/>
    <s v="UPI PAYMENT/40806"/>
    <x v="0"/>
    <s v="Exact amount + date + transaction type"/>
    <n v="95"/>
    <x v="0"/>
    <s v="No"/>
    <s v="No duplicate candidate"/>
  </r>
  <r>
    <s v="07d32ae8-a744-4320-b8bb-e394d9a60030"/>
    <s v="LED100651"/>
    <d v="2024-03-20T00:00:00"/>
    <d v="2024-03-20T00:00:00"/>
    <n v="125"/>
    <n v="125"/>
    <n v="0"/>
    <n v="0"/>
    <s v="UPI/40804"/>
    <s v="UPI PAYMENT/40804"/>
    <x v="0"/>
    <s v="Exact amount + date + transaction type"/>
    <n v="95"/>
    <x v="0"/>
    <s v="No"/>
    <s v="No duplicate candidate"/>
  </r>
  <r>
    <s v="fe452049-1057-4837-8d1b-069c2658aa80"/>
    <s v="LED100652"/>
    <d v="2024-03-21T00:00:00"/>
    <d v="2024-03-21T00:00:00"/>
    <n v="270"/>
    <n v="270"/>
    <n v="0"/>
    <n v="0"/>
    <s v="NEFT"/>
    <s v="NEFT PAYMENT"/>
    <x v="0"/>
    <s v="Exact reference + amount + date + type"/>
    <n v="100"/>
    <x v="0"/>
    <s v="No"/>
    <s v="No duplicate candidate"/>
  </r>
  <r>
    <s v="508c73b9-db53-4a7c-80c7-fe3829cacf0c"/>
    <s v="LED100653"/>
    <d v="2024-03-21T00:00:00"/>
    <d v="2024-03-21T00:00:00"/>
    <n v="170"/>
    <n v="170"/>
    <n v="0"/>
    <n v="0"/>
    <s v="UPI/44470"/>
    <s v="UPI PAYMENT/44470"/>
    <x v="0"/>
    <s v="Exact amount + date + transaction type"/>
    <n v="95"/>
    <x v="0"/>
    <s v="No"/>
    <s v="No duplicate candidate"/>
  </r>
  <r>
    <s v="764b99fb-ade2-434e-80d8-e79d1dcdb15b"/>
    <s v="LED100654"/>
    <d v="2024-03-21T00:00:00"/>
    <d v="2024-03-21T00:00:00"/>
    <n v="5"/>
    <n v="4.75"/>
    <n v="-0.25"/>
    <n v="0"/>
    <s v="UPI/BHARATPE"/>
    <s v="UPI PAYMENT/BHARATPE"/>
    <x v="4"/>
    <s v="Description similarity 100% but amount differs by ₹0.25"/>
    <n v="80"/>
    <x v="1"/>
    <s v="No"/>
    <s v="No duplicate candidate"/>
  </r>
  <r>
    <s v="00cac92b-da3e-4ba7-83f4-10e060a1d03f"/>
    <s v="LED100655"/>
    <d v="2024-03-22T00:00:00"/>
    <d v="2024-03-22T00:00:00"/>
    <n v="1370"/>
    <n v="1370"/>
    <n v="0"/>
    <n v="0"/>
    <s v="NEFT"/>
    <s v="NEFT PAYMENT"/>
    <x v="0"/>
    <s v="Exact reference + amount + date + type"/>
    <n v="100"/>
    <x v="0"/>
    <s v="No"/>
    <s v="No duplicate candidate"/>
  </r>
  <r>
    <s v="50c37c64-7cce-4928-bfd9-724014a1b6b7"/>
    <s v="LED100656"/>
    <d v="2024-03-22T00:00:00"/>
    <d v="2024-03-22T00:00:00"/>
    <n v="3000"/>
    <n v="3000"/>
    <n v="0"/>
    <n v="0"/>
    <s v="UPI/4448"/>
    <s v="UPI PAYMENT/4448"/>
    <x v="0"/>
    <s v="Exact amount + date + transaction type"/>
    <n v="95"/>
    <x v="0"/>
    <s v="No"/>
    <s v="No duplicate candidate"/>
  </r>
  <r>
    <s v="e83d17d0-3ef4-4381-83ce-92a38212fdac"/>
    <s v="LED100657"/>
    <d v="2024-03-22T00:00:00"/>
    <d v="2024-03-22T00:00:00"/>
    <n v="11"/>
    <n v="11"/>
    <n v="0"/>
    <n v="0"/>
    <s v="UPI/BHARATPE"/>
    <s v="UPI PAYMENT/BHARATPE"/>
    <x v="0"/>
    <s v="Exact amount + date + transaction type"/>
    <n v="95"/>
    <x v="0"/>
    <s v="No"/>
    <s v="No duplicate candidate"/>
  </r>
  <r>
    <s v="da240577-8841-4712-9479-8816122ea3c3"/>
    <s v="LED100658"/>
    <d v="2024-03-22T00:00:00"/>
    <d v="2024-03-22T00:00:00"/>
    <n v="100"/>
    <n v="100"/>
    <n v="0"/>
    <n v="0"/>
    <s v="UPI/40821"/>
    <s v="UPI PAYMENT/40821"/>
    <x v="0"/>
    <s v="Exact amount + date + transaction type"/>
    <n v="95"/>
    <x v="0"/>
    <s v="No"/>
    <s v="No duplicate candidate"/>
  </r>
  <r>
    <s v="d0a961ad-fecd-41e7-b06a-5df0258bf566"/>
    <s v="LED100659"/>
    <d v="2024-03-23T00:00:00"/>
    <d v="2024-03-23T00:00:00"/>
    <n v="4380"/>
    <n v="4380"/>
    <n v="0"/>
    <n v="0"/>
    <s v="AMZN"/>
    <s v="AMZN"/>
    <x v="0"/>
    <s v="Exact amount + date + transaction type"/>
    <n v="95"/>
    <x v="0"/>
    <s v="No"/>
    <s v="No duplicate candidate"/>
  </r>
  <r>
    <s v="3177e226-acae-4ec3-8843-3874b4361d5c"/>
    <s v="LED100660"/>
    <d v="2024-03-23T00:00:00"/>
    <d v="2024-03-23T00:00:00"/>
    <n v="130"/>
    <n v="130"/>
    <n v="0"/>
    <n v="0"/>
    <s v="UPI/GPAY"/>
    <s v="UPI PAYMENT/GPAY"/>
    <x v="0"/>
    <s v="Exact amount + date + transaction type"/>
    <n v="95"/>
    <x v="0"/>
    <s v="No"/>
    <s v="No duplicate candidate"/>
  </r>
  <r>
    <s v="5f86c92a-4e28-4a3d-aa31-7be396663f5b"/>
    <s v="LED100661"/>
    <d v="2024-03-24T00:00:00"/>
    <d v="2024-03-24T00:00:00"/>
    <n v="4300"/>
    <n v="4300"/>
    <n v="0"/>
    <n v="0"/>
    <s v="NEFT"/>
    <s v="NEFT PAYMENT"/>
    <x v="0"/>
    <s v="Exact reference + amount + date + type"/>
    <n v="100"/>
    <x v="0"/>
    <s v="No"/>
    <s v="No duplicate candidate"/>
  </r>
  <r>
    <s v="df48ddbf-f64d-456c-9e25-41a0b42687e9"/>
    <s v="LED100662"/>
    <d v="2024-03-24T00:00:00"/>
    <d v="2024-03-24T00:00:00"/>
    <n v="40"/>
    <n v="40"/>
    <n v="0"/>
    <n v="0"/>
    <s v="UPI/40846/-2"/>
    <s v="UPI PAYMENT/40846/-2"/>
    <x v="0"/>
    <s v="Exact amount + date + transaction type"/>
    <n v="95"/>
    <x v="0"/>
    <s v="No"/>
    <s v="No duplicate candidate"/>
  </r>
  <r>
    <s v="b59f667d-f903-4bf0-97c4-e977869adc2b"/>
    <s v="LED100663"/>
    <d v="2024-03-24T00:00:00"/>
    <d v="2024-03-24T00:00:00"/>
    <n v="1500"/>
    <n v="1500"/>
    <n v="0"/>
    <n v="0"/>
    <s v="UPI/4084"/>
    <s v="UPI PAYMENT/4084"/>
    <x v="0"/>
    <s v="Exact amount + date + transaction type"/>
    <n v="95"/>
    <x v="0"/>
    <s v="No"/>
    <s v="No duplicate candidate"/>
  </r>
  <r>
    <s v="abab07fe-0d91-45b4-89d2-8842b9306dfb"/>
    <s v="LED100664"/>
    <d v="2024-03-24T00:00:00"/>
    <d v="2024-03-24T00:00:00"/>
    <n v="500"/>
    <n v="500"/>
    <n v="0"/>
    <n v="0"/>
    <s v="UPI/44505"/>
    <s v="UPI PAYMENT/44505"/>
    <x v="0"/>
    <s v="Exact amount + date + transaction type"/>
    <n v="95"/>
    <x v="0"/>
    <s v="No"/>
    <s v="No duplicate candidate"/>
  </r>
  <r>
    <s v="26b6b56a-c7d5-4ec4-86fc-3a6ca3978eba"/>
    <s v="LED100665"/>
    <d v="2024-03-24T00:00:00"/>
    <d v="2024-03-24T00:00:00"/>
    <n v="200"/>
    <n v="200"/>
    <n v="0"/>
    <n v="0"/>
    <s v="UPI/40840"/>
    <s v="UPI PAYMENT/40840"/>
    <x v="0"/>
    <s v="Exact amount + date + transaction type"/>
    <n v="95"/>
    <x v="0"/>
    <s v="No"/>
    <s v="No duplicate candidate"/>
  </r>
  <r>
    <s v="4f2fc8cc-599c-4ffa-b157-e30f44ed18c6"/>
    <s v="LED100666"/>
    <d v="2024-03-25T00:00:00"/>
    <d v="2024-03-27T00:00:00"/>
    <n v="30"/>
    <n v="30"/>
    <n v="0"/>
    <n v="2"/>
    <s v="UPI/BHARATPE"/>
    <s v="UPI PAYMENT/BHARATPE"/>
    <x v="3"/>
    <s v="Amount + type match, date difference 2 day(s), description similarity 100%"/>
    <n v="75"/>
    <x v="1"/>
    <s v="No"/>
    <s v="No duplicate candidate"/>
  </r>
  <r>
    <s v="19ea4502-0cb0-484f-b995-03cf27b0cd6e"/>
    <s v="LED100667"/>
    <d v="2024-03-25T00:00:00"/>
    <d v="2024-03-25T00:00:00"/>
    <n v="100"/>
    <n v="100"/>
    <n v="0"/>
    <n v="0"/>
    <s v="UPI/4451"/>
    <s v="UPI PAYMENT/4451"/>
    <x v="0"/>
    <s v="Exact amount + date + transaction type"/>
    <n v="95"/>
    <x v="0"/>
    <s v="No"/>
    <s v="No duplicate candidate"/>
  </r>
  <r>
    <s v="0de79a71-5a6b-4a07-987d-5e775639811e"/>
    <s v="LED100988"/>
    <d v="2024-03-25T00:00:00"/>
    <d v="2024-01-19T00:00:00"/>
    <n v="19"/>
    <n v="240.9"/>
    <n v="221.9"/>
    <n v="-66"/>
    <s v="UPI/EURONETGPAY"/>
    <s v="UPI PAYMENT/EURONETGPAY"/>
    <x v="4"/>
    <s v="Description similarity 100% but amount differs by ₹221.90"/>
    <n v="80"/>
    <x v="1"/>
    <s v="Yes"/>
    <s v="Duplicate candidate detected"/>
  </r>
  <r>
    <s v="fff28fb6-5163-4ca5-aa89-8cbc53034790"/>
    <s v="LED100669"/>
    <d v="2024-03-26T00:00:00"/>
    <d v="2024-03-26T00:00:00"/>
    <n v="120"/>
    <n v="120"/>
    <n v="0"/>
    <n v="0"/>
    <s v="UPI/40861"/>
    <s v="UPI PAYMENT/40861"/>
    <x v="0"/>
    <s v="Exact amount + date + transaction type"/>
    <n v="95"/>
    <x v="0"/>
    <s v="No"/>
    <s v="No duplicate candidate"/>
  </r>
  <r>
    <s v="0955a422-1f1f-401e-8836-5e9efc1c1a42"/>
    <s v="LED100670"/>
    <d v="2024-03-27T00:00:00"/>
    <d v="2024-03-27T00:00:00"/>
    <n v="10"/>
    <n v="10"/>
    <n v="0"/>
    <n v="0"/>
    <s v="UPI/44535"/>
    <s v="UPI PAYMENT/44535"/>
    <x v="0"/>
    <s v="Exact amount + date + transaction type"/>
    <n v="95"/>
    <x v="0"/>
    <s v="No"/>
    <s v="No duplicate candidate"/>
  </r>
  <r>
    <s v="4aba3c22-3f45-4194-8dc2-885cb24cab0e"/>
    <s v="LED100671"/>
    <d v="2024-03-27T00:00:00"/>
    <d v="2024-03-27T00:00:00"/>
    <n v="50"/>
    <n v="50"/>
    <n v="0"/>
    <n v="0"/>
    <s v="UPI/BHARATPE6"/>
    <s v="UPI PAYMENT/BHARATPE6"/>
    <x v="0"/>
    <s v="Exact amount + date + transaction type"/>
    <n v="95"/>
    <x v="0"/>
    <s v="No"/>
    <s v="No duplicate candidate"/>
  </r>
  <r>
    <s v="e72ca825-8866-402c-a05b-cf0f7cad5a84"/>
    <s v="LED100672"/>
    <d v="2024-03-27T00:00:00"/>
    <d v="2024-03-27T00:00:00"/>
    <n v="20"/>
    <n v="20"/>
    <n v="0"/>
    <n v="0"/>
    <s v="UPI/EAZYPAY"/>
    <s v="UPI PAYMENT/EAZYPAY"/>
    <x v="1"/>
    <s v="Amount + type match with description similarity 100%"/>
    <n v="85"/>
    <x v="1"/>
    <s v="Yes"/>
    <s v="Duplicate candidate detected"/>
  </r>
  <r>
    <s v="8a0bc213-13a3-4f10-9c69-dd5ca1a1f985"/>
    <s v="LED100673"/>
    <d v="2024-03-27T00:00:00"/>
    <d v="2024-03-27T00:00:00"/>
    <n v="15"/>
    <n v="15"/>
    <n v="0"/>
    <n v="0"/>
    <s v="UPI/BHARATPE"/>
    <s v="UPI PAYMENT/BHARATPE"/>
    <x v="0"/>
    <s v="Exact amount + date + transaction type"/>
    <n v="95"/>
    <x v="0"/>
    <s v="No"/>
    <s v="No duplicate candidate"/>
  </r>
  <r>
    <s v="c9b1f653-377c-4d55-9de0-6515d8ac1093"/>
    <s v="LED100674"/>
    <d v="2024-03-28T00:00:00"/>
    <d v="2024-03-28T00:00:00"/>
    <n v="50"/>
    <n v="50"/>
    <n v="0"/>
    <n v="0"/>
    <s v="UPI/BHARATPE"/>
    <s v="UPI PAYMENT/BHARATPE"/>
    <x v="0"/>
    <s v="Exact amount + date + transaction type"/>
    <n v="95"/>
    <x v="0"/>
    <s v="No"/>
    <s v="No duplicate candidate"/>
  </r>
  <r>
    <s v="6030242a-7557-4afd-9054-02085fbd32d2"/>
    <s v="LED100675"/>
    <d v="2024-03-28T00:00:00"/>
    <d v="2024-03-28T00:00:00"/>
    <n v="10"/>
    <n v="10"/>
    <n v="0"/>
    <n v="0"/>
    <s v="UPI/BHARATPE"/>
    <s v="UPI PAYMENT/BHARATPE"/>
    <x v="1"/>
    <s v="Amount + type match with description similarity 100%"/>
    <n v="85"/>
    <x v="1"/>
    <s v="Yes"/>
    <s v="Duplicate candidate detected"/>
  </r>
  <r>
    <s v="b628fdc3-476b-44aa-8830-92e25a4727ab"/>
    <s v="LED100676"/>
    <d v="2024-03-28T00:00:00"/>
    <d v="2024-03-28T00:00:00"/>
    <n v="500"/>
    <n v="500"/>
    <n v="0"/>
    <n v="0"/>
    <s v="UPI/44544"/>
    <s v="UPI PAYMENT/44544"/>
    <x v="0"/>
    <s v="Exact amount + date + transaction type"/>
    <n v="95"/>
    <x v="0"/>
    <s v="No"/>
    <s v="No duplicate candidate"/>
  </r>
  <r>
    <s v="53d7e363-1b51-4239-9f25-7b50dc61c822"/>
    <s v="LED100677"/>
    <d v="2024-03-28T00:00:00"/>
    <d v="2024-03-28T00:00:00"/>
    <n v="5000"/>
    <n v="5000"/>
    <n v="0"/>
    <n v="0"/>
    <s v="UPI/40883"/>
    <s v="UPI PAYMENT/40883"/>
    <x v="0"/>
    <s v="Exact amount + date + transaction type"/>
    <n v="95"/>
    <x v="0"/>
    <s v="No"/>
    <s v="No duplicate candidate"/>
  </r>
  <r>
    <s v="1e07f769-eae0-4b00-b474-f0b2c3c8b3a9"/>
    <s v="LED100678"/>
    <d v="2024-03-28T00:00:00"/>
    <d v="2024-03-28T00:00:00"/>
    <n v="5000"/>
    <n v="5000"/>
    <n v="0"/>
    <n v="0"/>
    <s v="UPI/4454"/>
    <s v="UPI PAYMENT/4454"/>
    <x v="0"/>
    <s v="Exact amount + date + transaction type"/>
    <n v="95"/>
    <x v="0"/>
    <s v="No"/>
    <s v="No duplicate candidate"/>
  </r>
  <r>
    <s v="d23a4bf4-e4b2-462b-b793-687de9e958fe"/>
    <s v="LED100679"/>
    <d v="2024-03-28T00:00:00"/>
    <d v="2024-03-28T00:00:00"/>
    <n v="10"/>
    <n v="10"/>
    <n v="0"/>
    <n v="0"/>
    <s v="UPI/BHARATPE"/>
    <s v="UPI PAYMENT/BHARATPE"/>
    <x v="0"/>
    <s v="Exact amount + date + transaction type"/>
    <n v="95"/>
    <x v="0"/>
    <s v="Yes"/>
    <s v="Duplicate candidate detected"/>
  </r>
  <r>
    <s v="cc5842ed-918f-4cc6-96ba-c07cd8ddbdaa"/>
    <s v="LED100680"/>
    <d v="2024-03-29T00:00:00"/>
    <d v="2024-03-29T00:00:00"/>
    <n v="170"/>
    <n v="170"/>
    <n v="0"/>
    <n v="0"/>
    <s v="NEFT"/>
    <s v="NEFT PAYMENT"/>
    <x v="0"/>
    <s v="Exact reference + amount + date + type"/>
    <n v="100"/>
    <x v="0"/>
    <s v="No"/>
    <s v="No duplicate candidate"/>
  </r>
  <r>
    <s v="c3646735-a4fc-4856-9023-730fa71e7992"/>
    <s v="LED100681"/>
    <d v="2024-03-29T00:00:00"/>
    <d v="2024-03-29T00:00:00"/>
    <n v="500"/>
    <n v="500"/>
    <n v="0"/>
    <n v="0"/>
    <s v="UPI/40891"/>
    <s v="UPI PAYMENT/40891"/>
    <x v="0"/>
    <s v="Exact amount + date + transaction type"/>
    <n v="95"/>
    <x v="0"/>
    <s v="No"/>
    <s v="No duplicate candidate"/>
  </r>
  <r>
    <s v="b4c75e0f-9aaf-4d34-a1a8-49ef5752c3bc"/>
    <s v="LED100682"/>
    <d v="2024-03-29T00:00:00"/>
    <d v="2024-03-29T00:00:00"/>
    <n v="260"/>
    <n v="260"/>
    <n v="0"/>
    <n v="0"/>
    <s v="UPI/GPAY"/>
    <s v="UPI PAYMENT/GPAY"/>
    <x v="0"/>
    <s v="Exact amount + date + transaction type"/>
    <n v="95"/>
    <x v="0"/>
    <s v="No"/>
    <s v="No duplicate candidate"/>
  </r>
  <r>
    <s v="fa5e8f02-f34d-45d3-abc7-8aeacc50b5bc"/>
    <s v="LED100683"/>
    <d v="2024-03-29T00:00:00"/>
    <d v="2024-03-29T00:00:00"/>
    <n v="10"/>
    <n v="10"/>
    <n v="0"/>
    <n v="0"/>
    <s v="UPI/EAZYPAY"/>
    <s v="UPI PAYMENT/EAZYPAY"/>
    <x v="1"/>
    <s v="Amount + type match with description similarity 100%"/>
    <n v="85"/>
    <x v="1"/>
    <s v="No"/>
    <s v="No duplicate candidate"/>
  </r>
  <r>
    <s v="842a8f38-d8b0-4a7e-8aa4-f13bc5d2c5c1"/>
    <s v="LED100684"/>
    <d v="2024-03-29T00:00:00"/>
    <d v="2024-03-29T00:00:00"/>
    <n v="10"/>
    <n v="10"/>
    <n v="0"/>
    <n v="0"/>
    <s v="UPI/BHARATPE"/>
    <s v="UPI PAYMENT/BHARATPE"/>
    <x v="0"/>
    <s v="Exact amount + date + transaction type"/>
    <n v="95"/>
    <x v="0"/>
    <s v="No"/>
    <s v="No duplicate candidate"/>
  </r>
  <r>
    <s v="8f10df08-f90e-439d-83b7-1095c0083eff"/>
    <s v="LED100685"/>
    <d v="2024-03-30T00:00:00"/>
    <d v="2024-03-30T00:00:00"/>
    <n v="500"/>
    <n v="500"/>
    <n v="0"/>
    <n v="0"/>
    <s v="UPI/44561"/>
    <s v="UPI PAYMENT/44561"/>
    <x v="0"/>
    <s v="Exact amount + date + transaction type"/>
    <n v="95"/>
    <x v="0"/>
    <s v="No"/>
    <s v="No duplicate candidate"/>
  </r>
  <r>
    <s v="53a022f9-d213-44bc-9a29-f6e7a6330a02"/>
    <s v="LED100686"/>
    <d v="2024-03-30T00:00:00"/>
    <d v="2024-03-30T00:00:00"/>
    <n v="50"/>
    <n v="50"/>
    <n v="0"/>
    <n v="0"/>
    <s v="UPI/BHARATPE6"/>
    <s v="UPI PAYMENT/BHARATPE6"/>
    <x v="0"/>
    <s v="Exact amount + date + transaction type"/>
    <n v="95"/>
    <x v="0"/>
    <s v="No"/>
    <s v="No duplicate candidate"/>
  </r>
  <r>
    <s v="e8dc38f4-bc2b-4ad8-a22a-914e0c8c5b99"/>
    <s v="LED100687"/>
    <d v="2024-03-31T00:00:00"/>
    <d v="2024-03-31T00:00:00"/>
    <n v="950"/>
    <n v="950"/>
    <n v="0"/>
    <n v="0"/>
    <s v="NEFT"/>
    <s v="NEFT PAYMENT"/>
    <x v="0"/>
    <s v="Exact reference + amount + date + type"/>
    <n v="100"/>
    <x v="0"/>
    <s v="No"/>
    <s v="No duplicate candidate"/>
  </r>
  <r>
    <s v="faacddaa-6100-4529-8eda-f40d27d687f8"/>
    <s v="LED100688"/>
    <d v="2024-03-31T00:00:00"/>
    <d v="2024-03-31T00:00:00"/>
    <n v="20"/>
    <n v="20"/>
    <n v="0"/>
    <n v="0"/>
    <s v="UPI/40914/"/>
    <s v="UPI PAYMENT/40914/"/>
    <x v="0"/>
    <s v="Exact amount + date + transaction type"/>
    <n v="95"/>
    <x v="0"/>
    <s v="No"/>
    <s v="No duplicate candidate"/>
  </r>
  <r>
    <s v="be2eb8dd-c96e-4319-9477-c3d63755b7c1"/>
    <s v="LED100689"/>
    <d v="2024-03-31T00:00:00"/>
    <d v="2024-03-31T00:00:00"/>
    <n v="1"/>
    <n v="1"/>
    <n v="0"/>
    <n v="0"/>
    <s v="UPI/PAYTM"/>
    <s v="UPI PAYMENT/PAYTM"/>
    <x v="0"/>
    <s v="Exact amount + date + transaction type"/>
    <n v="95"/>
    <x v="0"/>
    <s v="No"/>
    <s v="No duplicate candidate"/>
  </r>
  <r>
    <s v="005c84fb-14b4-4970-b712-f80305df0996"/>
    <s v="LED100690"/>
    <d v="2024-03-31T00:00:00"/>
    <d v="2024-03-31T00:00:00"/>
    <n v="500"/>
    <n v="500"/>
    <n v="0"/>
    <n v="0"/>
    <s v="UPI/PAYTM"/>
    <s v="UPI PAYMENT/PAYTM"/>
    <x v="0"/>
    <s v="Exact amount + date + transaction type"/>
    <n v="95"/>
    <x v="0"/>
    <s v="No"/>
    <s v="No duplicate candidate"/>
  </r>
  <r>
    <s v="df528a6b-d779-4129-8580-066666bc8023"/>
    <s v="LED100691"/>
    <d v="2024-03-31T00:00:00"/>
    <d v="2024-03-31T00:00:00"/>
    <n v="130"/>
    <n v="130"/>
    <n v="0"/>
    <n v="0"/>
    <s v="UPI/GPAY"/>
    <s v="UPI PAYMENT/GPAY"/>
    <x v="0"/>
    <s v="Exact amount + date + transaction type"/>
    <n v="95"/>
    <x v="0"/>
    <s v="No"/>
    <s v="No duplicate candidate"/>
  </r>
  <r>
    <s v="ab4cc569-2be7-44ed-b583-f85d70c56b0a"/>
    <s v="LED100692"/>
    <d v="2024-03-31T00:00:00"/>
    <d v="2024-03-31T00:00:00"/>
    <n v="160"/>
    <n v="160"/>
    <n v="0"/>
    <n v="0"/>
    <s v="UPI/40912"/>
    <s v="UPI PAYMENT/40912"/>
    <x v="0"/>
    <s v="Exact amount + date + transaction type"/>
    <n v="95"/>
    <x v="0"/>
    <s v="No"/>
    <s v="No duplicate candidate"/>
  </r>
  <r>
    <s v="b83a0ca7-aa35-40ac-a728-29dcaf674b87"/>
    <s v="LED100693"/>
    <d v="2024-04-01T00:00:00"/>
    <d v="2024-04-01T00:00:00"/>
    <n v="10"/>
    <n v="10"/>
    <n v="0"/>
    <n v="0"/>
    <s v="UPI/PAYTM101"/>
    <s v="UPI PAYMENT/PAYTM101"/>
    <x v="1"/>
    <s v="Amount + type match with description similarity 100%"/>
    <n v="85"/>
    <x v="1"/>
    <s v="No"/>
    <s v="No duplicate candidate"/>
  </r>
  <r>
    <s v="0573bfbc-7117-40dc-a570-b23600b18af4"/>
    <s v="LED100694"/>
    <d v="2024-04-01T00:00:00"/>
    <d v="2024-04-01T00:00:00"/>
    <n v="560"/>
    <n v="560"/>
    <n v="0"/>
    <n v="0"/>
    <s v="UPI/CLOTHFASHION"/>
    <s v="UPI PAYMENT/CLOTHFASHION"/>
    <x v="0"/>
    <s v="Exact amount + date + transaction type"/>
    <n v="95"/>
    <x v="0"/>
    <s v="No"/>
    <s v="No duplicate candidate"/>
  </r>
  <r>
    <s v="9b1f60ea-af42-4fc0-9e3f-8f17f383fecd"/>
    <s v="LED100695"/>
    <d v="2024-04-01T00:00:00"/>
    <d v="2024-04-01T00:00:00"/>
    <n v="50"/>
    <n v="50"/>
    <n v="0"/>
    <n v="0"/>
    <s v="UPI/GPAY"/>
    <s v="UPI PAYMENT/GPAY"/>
    <x v="0"/>
    <s v="Exact amount + date + transaction type"/>
    <n v="95"/>
    <x v="0"/>
    <s v="No"/>
    <s v="No duplicate candidate"/>
  </r>
  <r>
    <s v="7bae1b38-451a-4d08-b35e-ac4f70c5ab02"/>
    <s v="LED100696"/>
    <d v="2024-04-01T00:00:00"/>
    <d v="2024-04-01T00:00:00"/>
    <n v="10"/>
    <n v="10"/>
    <n v="0"/>
    <n v="0"/>
    <s v="UPI/40925"/>
    <s v="UPI PAYMENT/40925"/>
    <x v="0"/>
    <s v="Exact amount + date + transaction type"/>
    <n v="95"/>
    <x v="0"/>
    <s v="No"/>
    <s v="No duplicate candidate"/>
  </r>
  <r>
    <s v="9bec421b-435a-44b6-9f98-0d11f9e1d134"/>
    <s v="LED100697"/>
    <d v="2024-04-01T00:00:00"/>
    <d v="2024-04-01T00:00:00"/>
    <n v="500"/>
    <n v="500"/>
    <n v="0"/>
    <n v="0"/>
    <s v="UPI/44588"/>
    <s v="UPI PAYMENT/44588"/>
    <x v="1"/>
    <s v="Amount + type match with description similarity 100%"/>
    <n v="85"/>
    <x v="1"/>
    <s v="No"/>
    <s v="No duplicate candidate"/>
  </r>
  <r>
    <s v="2c92002f-ccac-4af8-8763-75e570f2f5f2"/>
    <s v="LED100698"/>
    <d v="2024-04-01T00:00:00"/>
    <d v="2024-04-01T00:00:00"/>
    <n v="500"/>
    <n v="500"/>
    <n v="0"/>
    <n v="0"/>
    <s v="UPI/4458"/>
    <s v="UPI PAYMENT/4458"/>
    <x v="0"/>
    <s v="Exact amount + date + transaction type"/>
    <n v="95"/>
    <x v="0"/>
    <s v="No"/>
    <s v="No duplicate candidate"/>
  </r>
  <r>
    <s v="2562f2e7-2b2d-4a0d-8163-afb075006348"/>
    <s v="LED100699"/>
    <d v="2024-04-01T00:00:00"/>
    <d v="2024-04-01T00:00:00"/>
    <n v="500"/>
    <n v="500"/>
    <n v="0"/>
    <n v="0"/>
    <s v="UPI/40921"/>
    <s v="UPI PAYMENT/40921"/>
    <x v="0"/>
    <s v="Exact amount + date + transaction type"/>
    <n v="95"/>
    <x v="0"/>
    <s v="No"/>
    <s v="No duplicate candidate"/>
  </r>
  <r>
    <s v="ac7e1149-a292-4252-ad5b-d4a1155864c5"/>
    <s v="LED100700"/>
    <d v="2024-04-01T00:00:00"/>
    <d v="2024-04-01T00:00:00"/>
    <n v="100"/>
    <n v="100"/>
    <n v="0"/>
    <n v="0"/>
    <s v="IMPS"/>
    <s v="IMPS PAYMENT"/>
    <x v="0"/>
    <s v="Exact amount + date + transaction type"/>
    <n v="95"/>
    <x v="0"/>
    <s v="No"/>
    <s v="No duplicate candidate"/>
  </r>
  <r>
    <s v="92fc8952-00af-49d0-820c-e5adc5e222ab"/>
    <s v="LED100701"/>
    <d v="2024-04-02T00:00:00"/>
    <d v="2024-04-02T00:00:00"/>
    <n v="500"/>
    <n v="500"/>
    <n v="0"/>
    <n v="0"/>
    <s v="UPI/44562"/>
    <s v="UPI PAYMENT/44562"/>
    <x v="0"/>
    <s v="Exact amount + date + transaction type"/>
    <n v="95"/>
    <x v="0"/>
    <s v="No"/>
    <s v="No duplicate candidate"/>
  </r>
  <r>
    <s v="eb264545-fd4c-461a-b7b9-dda3d6e7e927"/>
    <s v="LED100702"/>
    <d v="2024-04-02T00:00:00"/>
    <d v="2024-04-02T00:00:00"/>
    <n v="240"/>
    <n v="240"/>
    <n v="0"/>
    <n v="0"/>
    <s v="UPI/4093"/>
    <s v="UPI PAYMENT/4093"/>
    <x v="0"/>
    <s v="Exact amount + date + transaction type"/>
    <n v="95"/>
    <x v="0"/>
    <s v="No"/>
    <s v="No duplicate candidate"/>
  </r>
  <r>
    <s v="eb279db8-edeb-47af-b20d-81475b5b2ce6"/>
    <s v="LED100703"/>
    <d v="2024-04-03T00:00:00"/>
    <d v="2024-04-03T00:00:00"/>
    <n v="30"/>
    <n v="30"/>
    <n v="0"/>
    <n v="0"/>
    <s v="NEFT"/>
    <s v="NEFT PAYMENT"/>
    <x v="0"/>
    <s v="Exact reference + amount + date + type"/>
    <n v="100"/>
    <x v="0"/>
    <s v="No"/>
    <s v="No duplicate candidate"/>
  </r>
  <r>
    <s v="2df8c2fa-e6f9-400d-b407-58c3f4d11f2a"/>
    <s v="LED100704"/>
    <d v="2024-04-04T00:00:00"/>
    <d v="2024-04-04T00:00:00"/>
    <n v="200"/>
    <n v="200"/>
    <n v="0"/>
    <n v="0"/>
    <s v="UPI/40959"/>
    <s v="UPI PAYMENT/40959"/>
    <x v="0"/>
    <s v="Exact amount + date + transaction type"/>
    <n v="95"/>
    <x v="0"/>
    <s v="No"/>
    <s v="No duplicate candidate"/>
  </r>
  <r>
    <s v="80c36ee5-c2c8-4f06-becc-312415bb6d17"/>
    <s v="LED100705"/>
    <d v="2024-04-04T00:00:00"/>
    <d v="2024-04-04T00:00:00"/>
    <n v="500"/>
    <n v="500"/>
    <n v="0"/>
    <n v="0"/>
    <s v="UPI/40954"/>
    <s v="UPI PAYMENT/40954"/>
    <x v="0"/>
    <s v="Exact amount + date + transaction type"/>
    <n v="95"/>
    <x v="0"/>
    <s v="No"/>
    <s v="No duplicate candidate"/>
  </r>
  <r>
    <s v="01fc58d3-6435-466d-88ee-5db8532ad7c2"/>
    <s v="LED100706"/>
    <d v="2024-04-04T00:00:00"/>
    <d v="2024-04-04T00:00:00"/>
    <n v="100"/>
    <n v="100"/>
    <n v="0"/>
    <n v="0"/>
    <s v="UPI/PAYTMfp"/>
    <s v="UPI PAYMENT/PAYTMFP"/>
    <x v="0"/>
    <s v="Exact amount + date + transaction type"/>
    <n v="95"/>
    <x v="0"/>
    <s v="No"/>
    <s v="No duplicate candidate"/>
  </r>
  <r>
    <s v="27d1a385-d5f2-463d-9bfa-e5fe17d6b0f4"/>
    <s v="LED100707"/>
    <d v="2024-04-05T00:00:00"/>
    <d v="2024-04-05T00:00:00"/>
    <n v="120"/>
    <n v="120"/>
    <n v="0"/>
    <n v="0"/>
    <s v="UPI/PAYTM"/>
    <s v="UPI PAYMENT/PAYTM"/>
    <x v="0"/>
    <s v="Exact amount + date + transaction type"/>
    <n v="95"/>
    <x v="0"/>
    <s v="No"/>
    <s v="No duplicate candidate"/>
  </r>
  <r>
    <s v="6f4d5624-0af7-40b2-8d34-e5c95f63c830"/>
    <s v="LED100952"/>
    <d v="2024-04-05T00:00:00"/>
    <d v="2024-05-25T00:00:00"/>
    <n v="50"/>
    <n v="50"/>
    <n v="0"/>
    <n v="50"/>
    <s v="UPI/BHARATPE"/>
    <s v="UPI PAYMENT/BHARATPE"/>
    <x v="1"/>
    <s v="Same amount + high description similarity 100% but date differs by 50 days"/>
    <n v="60"/>
    <x v="2"/>
    <s v="No"/>
    <s v="No duplicate candidate"/>
  </r>
  <r>
    <s v="e824e557-4782-48ec-96a3-b50e816aefe6"/>
    <s v="LED100709"/>
    <d v="2024-04-05T00:00:00"/>
    <d v="2024-04-05T00:00:00"/>
    <n v="10"/>
    <n v="10"/>
    <n v="0"/>
    <n v="0"/>
    <s v="UPI/40968"/>
    <s v="UPI PAYMENT/40968"/>
    <x v="0"/>
    <s v="Exact amount + date + transaction type"/>
    <n v="95"/>
    <x v="0"/>
    <s v="No"/>
    <s v="No duplicate candidate"/>
  </r>
  <r>
    <s v="f1521dfa-a412-4ca2-9ff5-2a1a06fab4b3"/>
    <s v="LED100715"/>
    <d v="2024-04-05T00:00:00"/>
    <d v="2024-04-06T00:00:00"/>
    <n v="130"/>
    <n v="130"/>
    <n v="0"/>
    <n v="1"/>
    <s v="UPI/GPAY"/>
    <s v="UPI PAYMENT/GPAY"/>
    <x v="3"/>
    <s v="Amount + type match, date difference 1 day(s), description similarity 100%"/>
    <n v="80"/>
    <x v="1"/>
    <s v="No"/>
    <s v="No duplicate candidate"/>
  </r>
  <r>
    <s v="924e81d9-cf72-4dcf-a36e-3d0b5ca57990"/>
    <s v="LED100711"/>
    <d v="2024-04-06T00:00:00"/>
    <d v="2024-04-06T00:00:00"/>
    <n v="280"/>
    <n v="280"/>
    <n v="0"/>
    <n v="0"/>
    <s v="NEFT"/>
    <s v="NEFT PAYMENT"/>
    <x v="0"/>
    <s v="Exact reference + amount + date + type"/>
    <n v="100"/>
    <x v="0"/>
    <s v="No"/>
    <s v="No duplicate candidate"/>
  </r>
  <r>
    <s v="1dd3067a-0912-4071-84c7-4ca22f24dbea"/>
    <s v="LED100712"/>
    <d v="2024-04-06T00:00:00"/>
    <d v="2024-04-06T00:00:00"/>
    <n v="10"/>
    <n v="10"/>
    <n v="0"/>
    <n v="0"/>
    <s v="UPI/40977/"/>
    <s v="UPI PAYMENT/40977/"/>
    <x v="1"/>
    <s v="Amount + type match with description similarity 100%"/>
    <n v="85"/>
    <x v="1"/>
    <s v="No"/>
    <s v="No duplicate candidate"/>
  </r>
  <r>
    <s v="430ffb27-227a-45a4-ae1d-589f6202c8cb"/>
    <s v="LED100713"/>
    <d v="2024-04-06T00:00:00"/>
    <d v="2024-04-06T00:00:00"/>
    <n v="10"/>
    <n v="10"/>
    <n v="0"/>
    <n v="0"/>
    <s v="UPI/40976"/>
    <s v="UPI PAYMENT/40976"/>
    <x v="0"/>
    <s v="Exact amount + date + transaction type"/>
    <n v="95"/>
    <x v="0"/>
    <s v="No"/>
    <s v="No duplicate candidate"/>
  </r>
  <r>
    <s v="da6725b1-f797-4bd3-9836-a437064a1aac"/>
    <s v="LED100714"/>
    <d v="2024-04-06T00:00:00"/>
    <d v="2024-04-06T00:00:00"/>
    <n v="50"/>
    <n v="50"/>
    <n v="0"/>
    <n v="0"/>
    <s v="UPI/40970/"/>
    <s v="UPI PAYMENT/40970/"/>
    <x v="0"/>
    <s v="Exact amount + date + transaction type"/>
    <n v="95"/>
    <x v="0"/>
    <s v="No"/>
    <s v="No duplicate candidate"/>
  </r>
  <r>
    <s v="0f95d184-2f54-4906-85d3-f44806965243"/>
    <s v="LED100722"/>
    <d v="2024-04-06T00:00:00"/>
    <d v="2024-04-07T00:00:00"/>
    <n v="130"/>
    <n v="130"/>
    <n v="0"/>
    <n v="1"/>
    <s v="UPI/GPAY"/>
    <s v="UPI PAYMENT/GPAY"/>
    <x v="3"/>
    <s v="Amount + type match, date difference 1 day(s), description similarity 100%"/>
    <n v="80"/>
    <x v="1"/>
    <s v="No"/>
    <s v="No duplicate candidate"/>
  </r>
  <r>
    <s v="bcb05dbe-7eac-43d3-ad3b-ff323366be9a"/>
    <s v="LED100716"/>
    <d v="2024-04-06T00:00:00"/>
    <d v="2024-04-06T00:00:00"/>
    <n v="160"/>
    <n v="160"/>
    <n v="0"/>
    <n v="0"/>
    <s v="UPI/GPAY"/>
    <s v="UPI PAYMENT/GPAY"/>
    <x v="0"/>
    <s v="Exact amount + date + transaction type"/>
    <n v="95"/>
    <x v="0"/>
    <s v="No"/>
    <s v="No duplicate candidate"/>
  </r>
  <r>
    <s v="4b7bbdfe-023d-4cbc-98ff-003e65c09a37"/>
    <s v="LED100717"/>
    <d v="2024-04-07T00:00:00"/>
    <d v="2024-04-07T00:00:00"/>
    <n v="10"/>
    <n v="10"/>
    <n v="0"/>
    <n v="0"/>
    <s v="UPI/BHARATPE"/>
    <s v="UPI PAYMENT/BHARATPE"/>
    <x v="0"/>
    <s v="Exact amount + date + transaction type"/>
    <n v="95"/>
    <x v="0"/>
    <s v="No"/>
    <s v="No duplicate candidate"/>
  </r>
  <r>
    <s v="1ebf1279-8c51-4c61-a1bd-2bcc2a4de239"/>
    <s v="LED100718"/>
    <d v="2024-04-07T00:00:00"/>
    <d v="2024-04-07T00:00:00"/>
    <n v="1350"/>
    <n v="1350"/>
    <n v="0"/>
    <n v="0"/>
    <s v="NEFT"/>
    <s v="NEFT PAYMENT"/>
    <x v="0"/>
    <s v="Exact reference + amount + date + type"/>
    <n v="100"/>
    <x v="0"/>
    <s v="No"/>
    <s v="No duplicate candidate"/>
  </r>
  <r>
    <s v="a46708c7-46bf-4b66-bb57-650058b62a76"/>
    <s v="LED100719"/>
    <d v="2024-04-07T00:00:00"/>
    <d v="2024-04-07T00:00:00"/>
    <n v="1000"/>
    <n v="1000"/>
    <n v="0"/>
    <n v="0"/>
    <s v="UPI/40982/"/>
    <s v="UPI PAYMENT/40982/"/>
    <x v="0"/>
    <s v="Exact amount + date + transaction type"/>
    <n v="95"/>
    <x v="0"/>
    <s v="No"/>
    <s v="No duplicate candidate"/>
  </r>
  <r>
    <s v="fe997736-a700-4544-9a15-be0a6e5ee1d7"/>
    <s v="LED100720"/>
    <d v="2024-04-07T00:00:00"/>
    <d v="2024-04-07T00:00:00"/>
    <n v="500"/>
    <n v="500"/>
    <n v="0"/>
    <n v="0"/>
    <s v="UPI/40986"/>
    <s v="UPI PAYMENT/40986"/>
    <x v="0"/>
    <s v="Exact amount + date + transaction type"/>
    <n v="95"/>
    <x v="0"/>
    <s v="No"/>
    <s v="No duplicate candidate"/>
  </r>
  <r>
    <s v="703d7b8e-bfef-4b24-b685-cc1a5f9521d1"/>
    <s v="LED100721"/>
    <d v="2024-04-07T00:00:00"/>
    <d v="2024-04-07T00:00:00"/>
    <n v="500"/>
    <n v="500"/>
    <n v="0"/>
    <n v="0"/>
    <s v="UPI/40989/"/>
    <s v="UPI PAYMENT/40989/"/>
    <x v="0"/>
    <s v="Exact amount + date + transaction type"/>
    <n v="95"/>
    <x v="0"/>
    <s v="No"/>
    <s v="No duplicate candidate"/>
  </r>
  <r>
    <s v="4eab974e-3558-4c51-996c-c108ad60ea3a"/>
    <s v="LED100730"/>
    <d v="2024-04-07T00:00:00"/>
    <d v="2024-04-09T00:00:00"/>
    <n v="130"/>
    <n v="130"/>
    <n v="0"/>
    <n v="2"/>
    <s v="UPI/GPAY"/>
    <s v="UPI PAYMENT/GPAY"/>
    <x v="3"/>
    <s v="Amount + type match, date difference 2 day(s), description similarity 100%"/>
    <n v="75"/>
    <x v="1"/>
    <s v="No"/>
    <s v="No duplicate candidate"/>
  </r>
  <r>
    <s v="e86c8bcc-4185-47d3-b914-37c867deca5f"/>
    <s v="LED100723"/>
    <d v="2024-04-07T00:00:00"/>
    <d v="2024-04-07T00:00:00"/>
    <n v="240"/>
    <n v="240"/>
    <n v="0"/>
    <n v="0"/>
    <s v="UPI/4464"/>
    <s v="UPI PAYMENT/4464"/>
    <x v="0"/>
    <s v="Exact amount + date + transaction type"/>
    <n v="95"/>
    <x v="0"/>
    <s v="No"/>
    <s v="No duplicate candidate"/>
  </r>
  <r>
    <s v="94b76a54-2e1c-4a80-af58-f1b189d34d50"/>
    <s v="LED100724"/>
    <d v="2024-04-08T00:00:00"/>
    <d v="2024-04-08T00:00:00"/>
    <n v="2500"/>
    <n v="2500"/>
    <n v="0"/>
    <n v="0"/>
    <s v="ATM"/>
    <s v="ATM WITHDRAWAL"/>
    <x v="0"/>
    <s v="Exact amount + date + transaction type"/>
    <n v="95"/>
    <x v="0"/>
    <s v="No"/>
    <s v="No duplicate candidate"/>
  </r>
  <r>
    <s v="eb8b9362-13ba-4748-b96c-7859e182e71d"/>
    <s v="LED100725"/>
    <d v="2024-04-09T00:00:00"/>
    <d v="2024-04-09T00:00:00"/>
    <n v="1320"/>
    <n v="1346.4"/>
    <n v="26.4"/>
    <n v="0"/>
    <s v="NEFT"/>
    <s v="NEFT PAYMENT"/>
    <x v="4"/>
    <s v="Description similarity 100% but amount differs by ₹26.40"/>
    <n v="80"/>
    <x v="1"/>
    <s v="No"/>
    <s v="No duplicate candidate"/>
  </r>
  <r>
    <s v="6ffa1c41-563b-4ecc-a5c0-783cf5ac225a"/>
    <s v="LED100726"/>
    <d v="2024-04-09T00:00:00"/>
    <d v="2024-04-09T00:00:00"/>
    <n v="400"/>
    <n v="400"/>
    <n v="0"/>
    <n v="0"/>
    <s v="UPI/GPAY"/>
    <s v="UPI PAYMENT/GPAY"/>
    <x v="0"/>
    <s v="Exact amount + date + transaction type"/>
    <n v="95"/>
    <x v="0"/>
    <s v="No"/>
    <s v="No duplicate candidate"/>
  </r>
  <r>
    <s v="9f046c8e-64c3-4523-8f05-d1019f79d618"/>
    <s v="LED100727"/>
    <d v="2024-04-09T00:00:00"/>
    <d v="2024-04-09T00:00:00"/>
    <n v="200"/>
    <n v="200"/>
    <n v="0"/>
    <n v="0"/>
    <s v="UPI/44663"/>
    <s v="UPI PAYMENT/44663"/>
    <x v="0"/>
    <s v="Exact amount + date + transaction type"/>
    <n v="95"/>
    <x v="0"/>
    <s v="No"/>
    <s v="No duplicate candidate"/>
  </r>
  <r>
    <s v="12572708-6315-4ff5-a52c-a45b81491cc7"/>
    <s v="LED100728"/>
    <d v="2024-04-09T00:00:00"/>
    <d v="2024-04-09T00:00:00"/>
    <n v="130"/>
    <n v="132.6"/>
    <n v="2.6"/>
    <n v="0"/>
    <s v="UPI/41001"/>
    <s v="UPI PAYMENT/41001"/>
    <x v="4"/>
    <s v="Description similarity 100% but amount differs by ₹2.60"/>
    <n v="80"/>
    <x v="1"/>
    <s v="No"/>
    <s v="No duplicate candidate"/>
  </r>
  <r>
    <s v="2b745460-472a-446f-8826-28559ec27571"/>
    <s v="LED100729"/>
    <d v="2024-04-09T00:00:00"/>
    <d v="2024-04-09T00:00:00"/>
    <n v="260"/>
    <n v="260"/>
    <n v="0"/>
    <n v="0"/>
    <s v="UPI/GPAY"/>
    <s v="UPI PAYMENT/GPAY"/>
    <x v="0"/>
    <s v="Exact amount + date + transaction type"/>
    <n v="95"/>
    <x v="0"/>
    <s v="No"/>
    <s v="No duplicate candidate"/>
  </r>
  <r>
    <s v="245bc332-d24e-4d96-867f-3ae8e50ee119"/>
    <s v="LED100734"/>
    <d v="2024-04-09T00:00:00"/>
    <d v="2024-04-10T00:00:00"/>
    <n v="130"/>
    <n v="130"/>
    <n v="0"/>
    <n v="1"/>
    <s v="UPI/GPAY"/>
    <s v="UPI PAYMENT/GPAY"/>
    <x v="3"/>
    <s v="Amount + type match, date difference 1 day(s), description similarity 100%"/>
    <n v="80"/>
    <x v="1"/>
    <s v="No"/>
    <s v="No duplicate candidate"/>
  </r>
  <r>
    <s v="dd474d55-d822-446e-8453-d5909149b760"/>
    <s v="LED100731"/>
    <d v="2024-04-09T00:00:00"/>
    <d v="2024-04-09T00:00:00"/>
    <n v="16"/>
    <n v="16"/>
    <n v="0"/>
    <n v="0"/>
    <s v="UPI/4466"/>
    <s v="UPI PAYMENT/4466"/>
    <x v="0"/>
    <s v="Exact amount + date + transaction type"/>
    <n v="95"/>
    <x v="0"/>
    <s v="No"/>
    <s v="No duplicate candidate"/>
  </r>
  <r>
    <s v="ad13ed90-1000-48b0-8fde-73046469eb27"/>
    <s v="LED100732"/>
    <d v="2024-04-10T00:00:00"/>
    <d v="2024-04-09T00:00:00"/>
    <n v="700"/>
    <n v="700"/>
    <n v="0"/>
    <n v="-1"/>
    <s v="NEFT"/>
    <s v="NEFT PAYMENT"/>
    <x v="3"/>
    <s v="Amount + type match, date difference 1 day(s), description similarity 100%"/>
    <n v="80"/>
    <x v="1"/>
    <s v="No"/>
    <s v="No duplicate candidate"/>
  </r>
  <r>
    <s v="33187176-bca9-420f-9323-3f1486f53f11"/>
    <s v="LED100733"/>
    <d v="2024-04-10T00:00:00"/>
    <d v="2024-04-10T00:00:00"/>
    <n v="19"/>
    <n v="19"/>
    <n v="0"/>
    <n v="0"/>
    <s v="Gpay BILL Payment"/>
    <s v="GPAY BILL PAYMENT"/>
    <x v="0"/>
    <s v="Exact amount + date + transaction type"/>
    <n v="95"/>
    <x v="0"/>
    <s v="No"/>
    <s v="No duplicate candidate"/>
  </r>
  <r>
    <s v="e55066e8-f39b-45e6-b250-f21d33d55a5f"/>
    <s v="LED100739"/>
    <d v="2024-04-10T00:00:00"/>
    <d v="2024-04-11T00:00:00"/>
    <n v="130"/>
    <n v="130"/>
    <n v="0"/>
    <n v="1"/>
    <s v="UPI/GPAY"/>
    <s v="UPI PAYMENT/GPAY"/>
    <x v="3"/>
    <s v="Amount + type match, date difference 1 day(s), description similarity 100%"/>
    <n v="80"/>
    <x v="1"/>
    <s v="No"/>
    <s v="No duplicate candidate"/>
  </r>
  <r>
    <s v="3dce87cb-b074-437c-8ec3-f319eefd3b9d"/>
    <s v="LED100735"/>
    <d v="2024-04-10T00:00:00"/>
    <d v="2024-04-10T00:00:00"/>
    <n v="20"/>
    <n v="21"/>
    <n v="1"/>
    <n v="0"/>
    <s v="UPI/4467"/>
    <s v="UPI PAYMENT/4467"/>
    <x v="4"/>
    <s v="Description similarity 100% but amount differs by ₹1.00"/>
    <n v="80"/>
    <x v="1"/>
    <s v="No"/>
    <s v="No duplicate candidate"/>
  </r>
  <r>
    <s v="1b46bf5a-787b-4f3b-bf86-c83335dbaaf2"/>
    <s v="LED100736"/>
    <d v="2024-04-10T00:00:00"/>
    <d v="2024-04-10T00:00:00"/>
    <n v="35"/>
    <n v="35"/>
    <n v="0"/>
    <n v="0"/>
    <s v="UPI/GPAY"/>
    <s v="UPI PAYMENT/GPAY"/>
    <x v="0"/>
    <s v="Exact amount + date + transaction type"/>
    <n v="95"/>
    <x v="0"/>
    <s v="No"/>
    <s v="No duplicate candidate"/>
  </r>
  <r>
    <s v="cedd9244-e391-4620-a617-cb74a5dcc3f2"/>
    <s v="LED100737"/>
    <d v="2024-04-11T00:00:00"/>
    <d v="2024-04-11T00:00:00"/>
    <n v="230"/>
    <n v="230"/>
    <n v="0"/>
    <n v="0"/>
    <s v="NEFT"/>
    <s v="NEFT PAYMENT"/>
    <x v="0"/>
    <s v="Exact reference + amount + date + type"/>
    <n v="100"/>
    <x v="0"/>
    <s v="No"/>
    <s v="No duplicate candidate"/>
  </r>
  <r>
    <s v="402447c4-3d83-4ffc-a44e-711d43d31166"/>
    <s v="LED100738"/>
    <d v="2024-04-11T00:00:00"/>
    <d v="2024-04-11T00:00:00"/>
    <n v="721"/>
    <n v="720.9"/>
    <n v="0"/>
    <n v="0"/>
    <s v="Gpay BILL Payment"/>
    <s v="GPAY BILL PAYMENT"/>
    <x v="0"/>
    <s v="Exact amount + date + transaction type"/>
    <n v="95"/>
    <x v="0"/>
    <s v="No"/>
    <s v="No duplicate candidate"/>
  </r>
  <r>
    <s v="88ce5bfd-faed-4efd-86e6-f071ad50b738"/>
    <s v="LED100756"/>
    <d v="2024-04-11T00:00:00"/>
    <d v="2024-04-15T00:00:00"/>
    <n v="130"/>
    <n v="130"/>
    <n v="0"/>
    <n v="4"/>
    <s v="UPI/GPAY"/>
    <s v="UPI PAYMENT/GPAY"/>
    <x v="3"/>
    <s v="Same amount + high description similarity 100% + date difference 4 day(s)"/>
    <n v="65"/>
    <x v="2"/>
    <s v="No"/>
    <s v="No duplicate candidate"/>
  </r>
  <r>
    <s v="b6fbcaae-3328-4df0-9671-ab3de27578c5"/>
    <s v="LED100740"/>
    <d v="2024-04-11T00:00:00"/>
    <d v="2024-04-11T00:00:00"/>
    <n v="220"/>
    <n v="220"/>
    <n v="0"/>
    <n v="0"/>
    <s v="UPI/44685"/>
    <s v="UPI PAYMENT/44685"/>
    <x v="0"/>
    <s v="Exact amount + date + transaction type"/>
    <n v="95"/>
    <x v="0"/>
    <s v="No"/>
    <s v="No duplicate candidate"/>
  </r>
  <r>
    <s v="ce5fb11c-c452-4eea-be12-59c856443ba0"/>
    <s v="LED100741"/>
    <d v="2024-04-12T00:00:00"/>
    <d v="2024-04-12T00:00:00"/>
    <n v="2589"/>
    <n v="2589"/>
    <n v="0"/>
    <n v="0"/>
    <s v="NEFT"/>
    <s v="NEFT PAYMENT"/>
    <x v="0"/>
    <s v="Exact reference + amount + date + type"/>
    <n v="100"/>
    <x v="0"/>
    <s v="No"/>
    <s v="No duplicate candidate"/>
  </r>
  <r>
    <s v="52c92988-becd-46dc-9be1-66a9b42835e6"/>
    <s v="LED100742"/>
    <d v="2024-04-12T00:00:00"/>
    <d v="2024-04-12T00:00:00"/>
    <n v="500"/>
    <n v="500"/>
    <n v="0"/>
    <n v="0"/>
    <s v="UPI/44698"/>
    <s v="UPI PAYMENT/44698"/>
    <x v="0"/>
    <s v="Exact amount + date + transaction type"/>
    <n v="95"/>
    <x v="0"/>
    <s v="No"/>
    <s v="No duplicate candidate"/>
  </r>
  <r>
    <s v="55ef304c-6a2b-43f6-896a-2eae1158edba"/>
    <s v="LED100743"/>
    <d v="2024-04-12T00:00:00"/>
    <d v="2024-04-12T00:00:00"/>
    <n v="450"/>
    <n v="450"/>
    <n v="0"/>
    <n v="0"/>
    <s v="UPI/41036"/>
    <s v="UPI PAYMENT/41036"/>
    <x v="0"/>
    <s v="Exact amount + date + transaction type"/>
    <n v="95"/>
    <x v="0"/>
    <s v="No"/>
    <s v="No duplicate candidate"/>
  </r>
  <r>
    <s v="1a1e700d-5dc5-4f23-8dfb-16b8ab71866e"/>
    <s v="LED100744"/>
    <d v="2024-04-12T00:00:00"/>
    <d v="2024-04-12T00:00:00"/>
    <n v="30000"/>
    <n v="30000"/>
    <n v="0"/>
    <n v="0"/>
    <s v="UPI/4103"/>
    <s v="UPI PAYMENT/4103"/>
    <x v="0"/>
    <s v="Exact amount + date + transaction type"/>
    <n v="95"/>
    <x v="0"/>
    <s v="No"/>
    <s v="No duplicate candidate"/>
  </r>
  <r>
    <s v="2fc1e504-df86-401f-9146-71944565913f"/>
    <s v="LED100745"/>
    <d v="2024-04-12T00:00:00"/>
    <d v="2024-04-12T00:00:00"/>
    <n v="30000"/>
    <n v="30000"/>
    <n v="0"/>
    <n v="0"/>
    <s v="UPI/44693/"/>
    <s v="UPI PAYMENT/44693/"/>
    <x v="0"/>
    <s v="Exact amount + date + transaction type"/>
    <n v="95"/>
    <x v="0"/>
    <s v="No"/>
    <s v="No duplicate candidate"/>
  </r>
  <r>
    <s v="50d08a25-be70-4f56-b5b9-485cf402f196"/>
    <s v="LED100746"/>
    <d v="2024-04-13T00:00:00"/>
    <d v="2024-04-13T00:00:00"/>
    <n v="800"/>
    <n v="800"/>
    <n v="0"/>
    <n v="0"/>
    <s v="NEFT"/>
    <s v="NEFT PAYMENT"/>
    <x v="0"/>
    <s v="Exact reference + amount + date + type"/>
    <n v="100"/>
    <x v="0"/>
    <s v="No"/>
    <s v="No duplicate candidate"/>
  </r>
  <r>
    <s v="5dfe460d-e225-4a55-86d4-d2f132301dcc"/>
    <s v="LED100747"/>
    <d v="2024-04-13T00:00:00"/>
    <d v="2024-04-13T00:00:00"/>
    <n v="2350"/>
    <n v="2350"/>
    <n v="0"/>
    <n v="0"/>
    <s v="UPI/41043/-1"/>
    <s v="UPI PAYMENT/41043/-1"/>
    <x v="0"/>
    <s v="Exact amount + date + transaction type"/>
    <n v="95"/>
    <x v="0"/>
    <s v="No"/>
    <s v="No duplicate candidate"/>
  </r>
  <r>
    <s v="b9409d8a-bc4b-4568-8e2a-12a8dff60b40"/>
    <s v="LED100748"/>
    <d v="2024-04-13T00:00:00"/>
    <d v="2024-04-13T00:00:00"/>
    <n v="1500"/>
    <n v="1500"/>
    <n v="0"/>
    <n v="0"/>
    <s v="UPI/44702/Pay"/>
    <s v="UPI PAYMENT/44702/PAY"/>
    <x v="0"/>
    <s v="Exact amount + date + transaction type"/>
    <n v="95"/>
    <x v="0"/>
    <s v="No"/>
    <s v="No duplicate candidate"/>
  </r>
  <r>
    <s v="8b52db23-e26f-4823-8a0e-917f13b683e4"/>
    <s v="LED100749"/>
    <d v="2024-04-14T00:00:00"/>
    <d v="2024-04-14T00:00:00"/>
    <n v="1500"/>
    <n v="1500"/>
    <n v="0"/>
    <n v="0"/>
    <s v="UPI/44712//Pay"/>
    <s v="UPI PAYMENT/44712//PAY"/>
    <x v="0"/>
    <s v="Exact amount + date + transaction type"/>
    <n v="95"/>
    <x v="0"/>
    <s v="No"/>
    <s v="No duplicate candidate"/>
  </r>
  <r>
    <s v="496212ca-209e-46cc-91fc-4d986b8907e6"/>
    <s v="LED100750"/>
    <d v="2024-04-14T00:00:00"/>
    <d v="2024-04-14T00:00:00"/>
    <n v="150"/>
    <n v="150"/>
    <n v="0"/>
    <n v="0"/>
    <s v="UPI/44716/"/>
    <s v="UPI PAYMENT/44716/"/>
    <x v="0"/>
    <s v="Exact amount + date + transaction type"/>
    <n v="95"/>
    <x v="0"/>
    <s v="No"/>
    <s v="No duplicate candidate"/>
  </r>
  <r>
    <s v="f4eb23f3-f400-45a9-9a35-4156afe34210"/>
    <s v="LED100751"/>
    <d v="2024-04-15T00:00:00"/>
    <d v="2024-04-15T00:00:00"/>
    <n v="950"/>
    <n v="950"/>
    <n v="0"/>
    <n v="0"/>
    <s v="NEFT"/>
    <s v="NEFT PAYMENT"/>
    <x v="0"/>
    <s v="Exact reference + amount + date + type"/>
    <n v="100"/>
    <x v="0"/>
    <s v="No"/>
    <s v="No duplicate candidate"/>
  </r>
  <r>
    <s v="3b247dfc-76a4-4463-9d4d-0c888884bd80"/>
    <s v="LED100752"/>
    <d v="2024-04-15T00:00:00"/>
    <d v="2024-04-14T00:00:00"/>
    <n v="10"/>
    <n v="10"/>
    <n v="0"/>
    <n v="-1"/>
    <s v="UPI/44724/"/>
    <s v="UPI PAYMENT/44724/"/>
    <x v="3"/>
    <s v="Amount + type match, date difference 1 day(s), description similarity 100%"/>
    <n v="80"/>
    <x v="1"/>
    <s v="No"/>
    <s v="No duplicate candidate"/>
  </r>
  <r>
    <s v="6a3b2349-6313-408c-9710-a6f5b895f6f8"/>
    <s v="LED100753"/>
    <d v="2024-04-15T00:00:00"/>
    <d v="2024-04-15T00:00:00"/>
    <n v="50"/>
    <n v="50"/>
    <n v="0"/>
    <n v="0"/>
    <s v="UPI/41066/"/>
    <s v="UPI PAYMENT/41066/"/>
    <x v="0"/>
    <s v="Exact amount + date + transaction type"/>
    <n v="95"/>
    <x v="0"/>
    <s v="No"/>
    <s v="No duplicate candidate"/>
  </r>
  <r>
    <s v="5b6fa850-d624-4cfa-8007-47efe7a12d1e"/>
    <s v="LED100754"/>
    <d v="2024-04-15T00:00:00"/>
    <d v="2024-04-15T00:00:00"/>
    <n v="200"/>
    <n v="200"/>
    <n v="0"/>
    <n v="0"/>
    <s v="UPI/44728"/>
    <s v="UPI PAYMENT/44728"/>
    <x v="0"/>
    <s v="Exact amount + date + transaction type"/>
    <n v="95"/>
    <x v="0"/>
    <s v="No"/>
    <s v="No duplicate candidate"/>
  </r>
  <r>
    <s v="f582fe20-87cb-4f68-807f-00f587efd4a1"/>
    <s v="LED100755"/>
    <d v="2024-04-15T00:00:00"/>
    <d v="2024-04-15T00:00:00"/>
    <n v="15"/>
    <n v="15"/>
    <n v="0"/>
    <n v="0"/>
    <s v="Gpay BILL Payment"/>
    <s v="GPAY BILL PAYMENT"/>
    <x v="0"/>
    <s v="Exact amount + date + transaction type"/>
    <n v="95"/>
    <x v="0"/>
    <s v="No"/>
    <s v="No duplicate candidate"/>
  </r>
  <r>
    <s v="ada7b712-ec48-41f6-b75c-f90c883b71a4"/>
    <s v="LED100758"/>
    <d v="2024-04-15T00:00:00"/>
    <d v="2024-04-16T00:00:00"/>
    <n v="130"/>
    <n v="130"/>
    <n v="0"/>
    <n v="1"/>
    <s v="UPI/GPAY"/>
    <s v="UPI PAYMENT/GPAY"/>
    <x v="3"/>
    <s v="Amount + type match, date difference 1 day(s), description similarity 100%"/>
    <n v="80"/>
    <x v="1"/>
    <s v="No"/>
    <s v="No duplicate candidate"/>
  </r>
  <r>
    <s v="f6766ad5-7c4e-4f6a-872d-fed300945e94"/>
    <s v="LED100951"/>
    <d v="2024-04-16T00:00:00"/>
    <d v="2024-05-25T00:00:00"/>
    <n v="600"/>
    <n v="600"/>
    <n v="0"/>
    <n v="39"/>
    <s v="NEFT"/>
    <s v="NEFT PAYMENT"/>
    <x v="1"/>
    <s v="Same amount + high description similarity 100% but date differs by 39 days"/>
    <n v="60"/>
    <x v="2"/>
    <s v="No"/>
    <s v="No duplicate candidate"/>
  </r>
  <r>
    <s v="939a1089-30ec-4eac-8722-90a2ca45876c"/>
    <s v="LED100770"/>
    <d v="2024-04-16T00:00:00"/>
    <d v="2024-04-20T00:00:00"/>
    <n v="130"/>
    <n v="130"/>
    <n v="0"/>
    <n v="4"/>
    <s v="UPI/GPAY"/>
    <s v="UPI PAYMENT/GPAY"/>
    <x v="3"/>
    <s v="Same amount + high description similarity 100% + date difference 4 day(s)"/>
    <n v="65"/>
    <x v="2"/>
    <s v="No"/>
    <s v="No duplicate candidate"/>
  </r>
  <r>
    <s v="db5fb96c-37cd-4f3e-b486-921c466de084"/>
    <s v="LED100759"/>
    <d v="2024-04-17T00:00:00"/>
    <d v="2024-04-17T00:00:00"/>
    <n v="3420"/>
    <n v="3420"/>
    <n v="0"/>
    <n v="0"/>
    <s v="NEFT"/>
    <s v="NEFT PAYMENT"/>
    <x v="0"/>
    <s v="Exact reference + amount + date + type"/>
    <n v="100"/>
    <x v="0"/>
    <s v="No"/>
    <s v="No duplicate candidate"/>
  </r>
  <r>
    <s v="4aa43469-3e3d-4d52-9744-d722da66903a"/>
    <s v="LED100760"/>
    <d v="2024-04-17T00:00:00"/>
    <d v="2024-04-17T00:00:00"/>
    <n v="100"/>
    <n v="100"/>
    <n v="0"/>
    <n v="0"/>
    <s v="UPI/44741"/>
    <s v="UPI PAYMENT/44741"/>
    <x v="0"/>
    <s v="Exact amount + date + transaction type"/>
    <n v="95"/>
    <x v="0"/>
    <s v="No"/>
    <s v="No duplicate candidate"/>
  </r>
  <r>
    <s v="81c116c0-737d-4e26-beb3-3ecfb6a087c3"/>
    <s v="LED100761"/>
    <d v="2024-04-17T00:00:00"/>
    <d v="2024-04-17T00:00:00"/>
    <n v="130"/>
    <n v="130"/>
    <n v="0"/>
    <n v="0"/>
    <s v="UPI/41081"/>
    <s v="UPI PAYMENT/41081"/>
    <x v="0"/>
    <s v="Exact amount + date + transaction type"/>
    <n v="95"/>
    <x v="0"/>
    <s v="No"/>
    <s v="No duplicate candidate"/>
  </r>
  <r>
    <s v="3b1c58fc-7816-4bfb-89c0-5f565ff2cedd"/>
    <s v="LED100762"/>
    <d v="2024-04-17T00:00:00"/>
    <d v="2024-04-17T00:00:00"/>
    <n v="4000"/>
    <n v="4000"/>
    <n v="0"/>
    <n v="0"/>
    <s v="UPI/41080/"/>
    <s v="UPI PAYMENT/41080/"/>
    <x v="0"/>
    <s v="Exact amount + date + transaction type"/>
    <n v="95"/>
    <x v="0"/>
    <s v="No"/>
    <s v="No duplicate candidate"/>
  </r>
  <r>
    <s v="ab7dc2d6-89ba-477d-9826-26f4e67a3c28"/>
    <s v="LED100763"/>
    <d v="2024-04-17T00:00:00"/>
    <d v="2024-04-17T00:00:00"/>
    <n v="40"/>
    <n v="40"/>
    <n v="0"/>
    <n v="0"/>
    <s v="UPI/PAYTM8p"/>
    <s v="UPI PAYMENT/PAYTM8P"/>
    <x v="0"/>
    <s v="Exact amount + date + transaction type"/>
    <n v="95"/>
    <x v="0"/>
    <s v="No"/>
    <s v="No duplicate candidate"/>
  </r>
  <r>
    <s v="f30f3bc0-6e04-4d0a-ac40-fab88dd3bdaf"/>
    <s v="LED100764"/>
    <d v="2024-04-18T00:00:00"/>
    <d v="2024-04-18T00:00:00"/>
    <n v="130"/>
    <n v="130"/>
    <n v="0"/>
    <n v="0"/>
    <s v="UPI/41098"/>
    <s v="UPI PAYMENT/41098"/>
    <x v="0"/>
    <s v="Exact amount + date + transaction type"/>
    <n v="95"/>
    <x v="0"/>
    <s v="No"/>
    <s v="No duplicate candidate"/>
  </r>
  <r>
    <s v="0e00e4aa-83ff-45f2-a887-fbc85a828059"/>
    <s v="LED100765"/>
    <d v="2024-04-19T00:00:00"/>
    <d v="2024-04-19T00:00:00"/>
    <n v="500"/>
    <n v="500"/>
    <n v="0"/>
    <n v="0"/>
    <s v="NEFT"/>
    <s v="NEFT PAYMENT"/>
    <x v="0"/>
    <s v="Exact reference + amount + date + type"/>
    <n v="100"/>
    <x v="0"/>
    <s v="No"/>
    <s v="No duplicate candidate"/>
  </r>
  <r>
    <s v="d803f517-c060-49df-a739-0f0b6968d70f"/>
    <s v="LED100766"/>
    <d v="2024-04-19T00:00:00"/>
    <d v="2024-04-19T00:00:00"/>
    <n v="400"/>
    <n v="400"/>
    <n v="0"/>
    <n v="0"/>
    <s v="UPI/44767/o"/>
    <s v="UPI PAYMENT/44767/O"/>
    <x v="0"/>
    <s v="Exact amount + date + transaction type"/>
    <n v="95"/>
    <x v="0"/>
    <s v="No"/>
    <s v="No duplicate candidate"/>
  </r>
  <r>
    <s v="3ce42a10-e653-4b1d-8457-dd708f957c67"/>
    <s v="LED100767"/>
    <d v="2024-04-19T00:00:00"/>
    <d v="2024-04-19T00:00:00"/>
    <n v="20"/>
    <n v="20"/>
    <n v="0"/>
    <n v="0"/>
    <s v="UPI/44763"/>
    <s v="UPI PAYMENT/44763"/>
    <x v="0"/>
    <s v="Exact amount + date + transaction type"/>
    <n v="95"/>
    <x v="0"/>
    <s v="No"/>
    <s v="No duplicate candidate"/>
  </r>
  <r>
    <s v="49d7cf57-79ab-498e-96db-9c503222741a"/>
    <s v="LED100768"/>
    <d v="2024-04-19T00:00:00"/>
    <d v="2024-04-19T00:00:00"/>
    <n v="10"/>
    <n v="10"/>
    <n v="0"/>
    <n v="0"/>
    <s v="UPI/4476"/>
    <s v="UPI PAYMENT/4476"/>
    <x v="0"/>
    <s v="Exact amount + date + transaction type"/>
    <n v="95"/>
    <x v="0"/>
    <s v="No"/>
    <s v="No duplicate candidate"/>
  </r>
  <r>
    <s v="c48dffdb-6b3c-44be-8156-0062dde4798f"/>
    <s v="LED100829"/>
    <d v="2024-04-20T00:00:00"/>
    <d v="2024-05-04T00:00:00"/>
    <n v="1450"/>
    <n v="1380"/>
    <n v="-70"/>
    <n v="14"/>
    <s v="NEFT"/>
    <s v="NEFT PAYMENT"/>
    <x v="4"/>
    <s v="Description similarity 100% but amount differs by ₹70.00"/>
    <n v="80"/>
    <x v="1"/>
    <s v="No"/>
    <s v="No duplicate candidate"/>
  </r>
  <r>
    <s v="2c9edfcb-2464-4e78-9dae-b964a77b68ea"/>
    <s v="LED100781"/>
    <d v="2024-04-20T00:00:00"/>
    <d v="2024-04-23T00:00:00"/>
    <n v="130"/>
    <n v="130"/>
    <n v="0"/>
    <n v="3"/>
    <s v="UPI/GPAY"/>
    <s v="UPI PAYMENT/GPAY"/>
    <x v="3"/>
    <s v="Amount + type match, date difference 3 day(s), description similarity 100%"/>
    <n v="70"/>
    <x v="1"/>
    <s v="Yes"/>
    <s v="Duplicate candidate detected"/>
  </r>
  <r>
    <s v="fccef286-4526-4726-863d-d4750a1d8781"/>
    <s v="LED100771"/>
    <d v="2024-04-20T00:00:00"/>
    <d v="2024-04-20T00:00:00"/>
    <n v="200"/>
    <n v="200"/>
    <n v="0"/>
    <n v="0"/>
    <s v="UPI/44779"/>
    <s v="UPI PAYMENT/44779"/>
    <x v="0"/>
    <s v="Exact amount + date + transaction type"/>
    <n v="95"/>
    <x v="0"/>
    <s v="No"/>
    <s v="No duplicate candidate"/>
  </r>
  <r>
    <s v="54f6d8b0-d9c9-4577-a5e8-806bec7cc0ca"/>
    <s v="LED100772"/>
    <d v="2024-04-20T00:00:00"/>
    <d v="2024-04-20T00:00:00"/>
    <n v="60"/>
    <n v="60"/>
    <n v="0"/>
    <n v="0"/>
    <s v="UPI/41110"/>
    <s v="UPI PAYMENT/41110"/>
    <x v="0"/>
    <s v="Exact amount + date + transaction type"/>
    <n v="95"/>
    <x v="0"/>
    <s v="No"/>
    <s v="No duplicate candidate"/>
  </r>
  <r>
    <s v="d3ab8c88-06f1-4355-b11c-3894692904e1"/>
    <s v="LED100773"/>
    <d v="2024-04-20T00:00:00"/>
    <d v="2024-04-20T00:00:00"/>
    <n v="10"/>
    <n v="10"/>
    <n v="0"/>
    <n v="0"/>
    <s v="UPI/4477"/>
    <s v="UPI PAYMENT/4477"/>
    <x v="0"/>
    <s v="Exact amount + date + transaction type"/>
    <n v="95"/>
    <x v="0"/>
    <s v="No"/>
    <s v="No duplicate candidate"/>
  </r>
  <r>
    <s v="37023f20-cd29-4d67-b6da-815dc8e4495b"/>
    <s v="LED100774"/>
    <d v="2024-04-21T00:00:00"/>
    <d v="2024-04-21T00:00:00"/>
    <n v="780"/>
    <n v="780"/>
    <n v="0"/>
    <n v="0"/>
    <s v="NEFT"/>
    <s v="NEFT PAYMENT"/>
    <x v="0"/>
    <s v="Exact reference + amount + date + type"/>
    <n v="100"/>
    <x v="0"/>
    <s v="No"/>
    <s v="No duplicate candidate"/>
  </r>
  <r>
    <s v="4a55456d-1578-4384-99f0-d0551a3ce353"/>
    <s v="LED100775"/>
    <d v="2024-04-22T00:00:00"/>
    <d v="2024-04-22T00:00:00"/>
    <n v="2970"/>
    <n v="2970"/>
    <n v="0"/>
    <n v="0"/>
    <s v="NEFT"/>
    <s v="NEFT PAYMENT"/>
    <x v="0"/>
    <s v="Exact reference + amount + date + type"/>
    <n v="100"/>
    <x v="0"/>
    <s v="No"/>
    <s v="No duplicate candidate"/>
  </r>
  <r>
    <s v="c31f75bc-d203-433f-958f-f289992bb0f3"/>
    <s v="LED100776"/>
    <d v="2024-04-22T00:00:00"/>
    <d v="2024-04-24T00:00:00"/>
    <n v="130"/>
    <n v="130"/>
    <n v="0"/>
    <n v="2"/>
    <s v="UPI/GPAY"/>
    <s v="UPI PAYMENT/GPAY"/>
    <x v="3"/>
    <s v="Amount + type match, date difference 2 day(s), description similarity 100%"/>
    <n v="75"/>
    <x v="1"/>
    <s v="Yes"/>
    <s v="Duplicate candidate detected"/>
  </r>
  <r>
    <s v="b58f6d36-ed03-46ad-b47e-9325045a76b2"/>
    <s v="LED100777"/>
    <d v="2024-04-22T00:00:00"/>
    <d v="2024-04-22T00:00:00"/>
    <n v="380"/>
    <n v="380"/>
    <n v="0"/>
    <n v="0"/>
    <s v="UPI/BHARATPE"/>
    <s v="UPI PAYMENT/BHARATPE"/>
    <x v="0"/>
    <s v="Exact amount + date + transaction type"/>
    <n v="95"/>
    <x v="0"/>
    <s v="No"/>
    <s v="No duplicate candidate"/>
  </r>
  <r>
    <s v="c91bc3a7-9f6b-48f1-9561-46c3ece2baab"/>
    <s v="LED100778"/>
    <d v="2024-04-22T00:00:00"/>
    <d v="2024-04-22T00:00:00"/>
    <n v="15"/>
    <n v="15"/>
    <n v="0"/>
    <n v="0"/>
    <s v="EURO Net BILL"/>
    <s v="EURO NET BILL"/>
    <x v="0"/>
    <s v="Exact amount + date + transaction type"/>
    <n v="95"/>
    <x v="0"/>
    <s v="No"/>
    <s v="No duplicate candidate"/>
  </r>
  <r>
    <s v="cf93bcfe-484a-471a-81ba-16dcba6fd2f1"/>
    <s v="LED100779"/>
    <d v="2024-04-22T00:00:00"/>
    <d v="2024-04-22T00:00:00"/>
    <n v="10"/>
    <n v="10"/>
    <n v="0"/>
    <n v="0"/>
    <s v="UPI/BHARATPE"/>
    <s v="UPI PAYMENT/BHARATPE"/>
    <x v="0"/>
    <s v="Exact amount + date + transaction type"/>
    <n v="95"/>
    <x v="0"/>
    <s v="No"/>
    <s v="No duplicate candidate"/>
  </r>
  <r>
    <s v="ad4dbbaa-9053-468f-9e11-258b8b237e51"/>
    <s v="LED100780"/>
    <d v="2024-04-23T00:00:00"/>
    <d v="2024-04-23T00:00:00"/>
    <n v="300"/>
    <n v="300"/>
    <n v="0"/>
    <n v="0"/>
    <s v="NEFT"/>
    <s v="NEFT PAYMENT"/>
    <x v="0"/>
    <s v="Exact reference + amount + date + type"/>
    <n v="100"/>
    <x v="0"/>
    <s v="No"/>
    <s v="No duplicate candidate"/>
  </r>
  <r>
    <s v="d517b9fc-3e85-49f8-b6cc-20d2efecba79"/>
    <s v="LED100782"/>
    <d v="2024-04-23T00:00:00"/>
    <d v="2024-04-23T00:00:00"/>
    <n v="130"/>
    <n v="130"/>
    <n v="0"/>
    <n v="0"/>
    <s v="UPI/GPAY"/>
    <s v="UPI PAYMENT/GPAY"/>
    <x v="0"/>
    <s v="Exact amount + date + transaction type"/>
    <n v="95"/>
    <x v="0"/>
    <s v="Yes"/>
    <s v="Duplicate candidate detected"/>
  </r>
  <r>
    <s v="fa7e80c4-58ad-4790-9959-ec7e59fbc67f"/>
    <s v="LED100787"/>
    <d v="2024-04-23T00:00:00"/>
    <d v="2024-04-24T00:00:00"/>
    <n v="130"/>
    <n v="130"/>
    <n v="0"/>
    <n v="1"/>
    <s v="UPI/GPAY"/>
    <s v="UPI PAYMENT/GPAY"/>
    <x v="3"/>
    <s v="Amount + type match, date difference 1 day(s), description similarity 100%"/>
    <n v="80"/>
    <x v="1"/>
    <s v="Yes"/>
    <s v="Duplicate candidate detected"/>
  </r>
  <r>
    <s v="d1ebf28b-4b9d-4c68-9003-33ae87f0fe17"/>
    <s v="LED100783"/>
    <d v="2024-04-23T00:00:00"/>
    <d v="2024-04-23T00:00:00"/>
    <n v="400"/>
    <n v="400"/>
    <n v="0"/>
    <n v="0"/>
    <s v="UPI/41146"/>
    <s v="UPI PAYMENT/41146"/>
    <x v="0"/>
    <s v="Exact amount + date + transaction type"/>
    <n v="95"/>
    <x v="0"/>
    <s v="No"/>
    <s v="No duplicate candidate"/>
  </r>
  <r>
    <s v="da512c6c-d2b6-40eb-aa3d-1c5f649fe763"/>
    <s v="LED100784"/>
    <d v="2024-04-24T00:00:00"/>
    <d v="2024-04-24T00:00:00"/>
    <n v="1570"/>
    <n v="1570"/>
    <n v="0"/>
    <n v="0"/>
    <s v="NEFT"/>
    <s v="NEFT PAYMENT"/>
    <x v="0"/>
    <s v="Exact reference + amount + date + type"/>
    <n v="100"/>
    <x v="0"/>
    <s v="No"/>
    <s v="No duplicate candidate"/>
  </r>
  <r>
    <s v="99a18bcb-b126-45e5-84e1-25e32794d6a3"/>
    <s v="LED100785"/>
    <d v="2024-04-24T00:00:00"/>
    <d v="2024-04-24T00:00:00"/>
    <n v="1"/>
    <n v="1"/>
    <n v="0"/>
    <n v="0"/>
    <s v="UPI/41150/autopayhdfcbank"/>
    <s v="UPI PAYMENT/41150/AUTOPAYHDFCBANK"/>
    <x v="0"/>
    <s v="Exact amount + date + transaction type"/>
    <n v="95"/>
    <x v="0"/>
    <s v="No"/>
    <s v="No duplicate candidate"/>
  </r>
  <r>
    <s v="c5c1c4d3-bc90-40e9-9752-4e1a892f0f08"/>
    <s v="LED100786"/>
    <d v="2024-04-24T00:00:00"/>
    <d v="2024-04-24T00:00:00"/>
    <n v="1"/>
    <n v="1"/>
    <n v="0"/>
    <n v="0"/>
    <s v="UPI/41150/autopayhdfcbank"/>
    <s v="UPI PAYMENT/41150/AUTOPAYHDFCBANK"/>
    <x v="0"/>
    <s v="Exact amount + date + transaction type"/>
    <n v="95"/>
    <x v="0"/>
    <s v="No"/>
    <s v="No duplicate candidate"/>
  </r>
  <r>
    <s v="31aab463-ccca-46d0-bb22-cbc89cf43f14"/>
    <s v="LED100791"/>
    <d v="2024-04-24T00:00:00"/>
    <d v="2024-04-26T00:00:00"/>
    <n v="130"/>
    <n v="130"/>
    <n v="0"/>
    <n v="2"/>
    <s v="UPI/GPAY"/>
    <s v="UPI PAYMENT/GPAY"/>
    <x v="3"/>
    <s v="Amount + type match, date difference 2 day(s), description similarity 100%"/>
    <n v="75"/>
    <x v="1"/>
    <s v="Yes"/>
    <s v="Duplicate candidate detected"/>
  </r>
  <r>
    <s v="ab8fba2a-2754-458a-b932-83ede34ed0e4"/>
    <s v="LED100788"/>
    <d v="2024-04-25T00:00:00"/>
    <d v="2024-04-25T00:00:00"/>
    <n v="1200"/>
    <n v="1200"/>
    <n v="0"/>
    <n v="0"/>
    <s v="NEFT"/>
    <s v="NEFT PAYMENT"/>
    <x v="0"/>
    <s v="Exact reference + amount + date + type"/>
    <n v="100"/>
    <x v="0"/>
    <s v="No"/>
    <s v="No duplicate candidate"/>
  </r>
  <r>
    <s v="1c4acb99-d93b-44a5-a973-a7731913870c"/>
    <s v="LED100789"/>
    <d v="2024-04-26T00:00:00"/>
    <d v="2024-04-26T00:00:00"/>
    <n v="1160"/>
    <n v="1218"/>
    <n v="58"/>
    <n v="0"/>
    <s v="NEFT"/>
    <s v="NEFT PAYMENT"/>
    <x v="4"/>
    <s v="Description similarity 100% but amount differs by ₹58.00"/>
    <n v="80"/>
    <x v="1"/>
    <s v="No"/>
    <s v="No duplicate candidate"/>
  </r>
  <r>
    <s v="ef92af33-1002-4eca-8ca5-234fd4e50438"/>
    <s v="LED100790"/>
    <d v="2024-04-26T00:00:00"/>
    <d v="2024-04-26T00:00:00"/>
    <n v="250"/>
    <n v="250"/>
    <n v="0"/>
    <n v="0"/>
    <s v="UPI/41176/"/>
    <s v="UPI PAYMENT/41176/"/>
    <x v="0"/>
    <s v="Exact amount + date + transaction type"/>
    <n v="95"/>
    <x v="0"/>
    <s v="No"/>
    <s v="No duplicate candidate"/>
  </r>
  <r>
    <s v="3a845d1a-0d45-4baf-9df1-9fed3beac079"/>
    <s v="LED100989"/>
    <d v="2024-04-26T00:00:00"/>
    <d v="2024-04-26T00:00:00"/>
    <n v="130"/>
    <n v="130"/>
    <n v="0"/>
    <n v="0"/>
    <s v="UPI/GPAY"/>
    <s v="UPI PAYMENT/GPAY"/>
    <x v="0"/>
    <s v="Exact amount + date + transaction type"/>
    <n v="95"/>
    <x v="0"/>
    <s v="Yes"/>
    <s v="Duplicate candidate detected"/>
  </r>
  <r>
    <s v="a57a70e9-a28f-4456-8ade-f37288d7dc9b"/>
    <s v="LED100792"/>
    <d v="2024-04-26T00:00:00"/>
    <d v="2024-04-26T00:00:00"/>
    <n v="260"/>
    <n v="260"/>
    <n v="0"/>
    <n v="0"/>
    <s v="UPI/GPAY"/>
    <s v="UPI PAYMENT/GPAY"/>
    <x v="0"/>
    <s v="Exact amount + date + transaction type"/>
    <n v="95"/>
    <x v="0"/>
    <s v="No"/>
    <s v="No duplicate candidate"/>
  </r>
  <r>
    <s v="5a833f4f-4923-41a0-975e-e981311578a2"/>
    <s v="LED100793"/>
    <d v="2024-04-27T00:00:00"/>
    <d v="2024-04-27T00:00:00"/>
    <n v="1060"/>
    <n v="1060"/>
    <n v="0"/>
    <n v="0"/>
    <s v="NEFT"/>
    <s v="NEFT PAYMENT"/>
    <x v="0"/>
    <s v="Exact reference + amount + date + type"/>
    <n v="100"/>
    <x v="0"/>
    <s v="No"/>
    <s v="No duplicate candidate"/>
  </r>
  <r>
    <s v="4d895602-777e-4035-8414-d438d151b72f"/>
    <s v="LED100794"/>
    <d v="2024-04-27T00:00:00"/>
    <d v="2024-04-27T00:00:00"/>
    <n v="1"/>
    <n v="1"/>
    <n v="0"/>
    <n v="0"/>
    <s v="AMZN/"/>
    <s v="AMZN/"/>
    <x v="0"/>
    <s v="Exact amount + date + transaction type"/>
    <n v="95"/>
    <x v="0"/>
    <s v="No"/>
    <s v="No duplicate candidate"/>
  </r>
  <r>
    <s v="de0b0d9c-069b-44d8-80cf-965e1b8eb56b"/>
    <s v="LED100795"/>
    <d v="2024-04-27T00:00:00"/>
    <d v="2024-04-27T00:00:00"/>
    <n v="7500"/>
    <n v="7500"/>
    <n v="0"/>
    <n v="0"/>
    <s v="AMZN/"/>
    <s v="AMZN/"/>
    <x v="0"/>
    <s v="Exact amount + date + transaction type"/>
    <n v="95"/>
    <x v="0"/>
    <s v="No"/>
    <s v="No duplicate candidate"/>
  </r>
  <r>
    <s v="c718d820-6d0d-4193-a7b4-96e78efe4348"/>
    <s v="LED100796"/>
    <d v="2024-04-27T00:00:00"/>
    <d v="2024-04-27T00:00:00"/>
    <n v="12"/>
    <n v="12"/>
    <n v="0"/>
    <n v="0"/>
    <s v="UPI/GPAY"/>
    <s v="UPI PAYMENT/GPAY"/>
    <x v="0"/>
    <s v="Exact amount + date + transaction type"/>
    <n v="95"/>
    <x v="0"/>
    <s v="No"/>
    <s v="No duplicate candidate"/>
  </r>
  <r>
    <s v="f13916de-1fed-432f-b431-c92101ecf97f"/>
    <s v="LED100797"/>
    <d v="2024-04-27T00:00:00"/>
    <d v="2024-04-27T00:00:00"/>
    <n v="400"/>
    <n v="400"/>
    <n v="0"/>
    <n v="0"/>
    <s v="UPI/4484"/>
    <s v="UPI PAYMENT/4484"/>
    <x v="0"/>
    <s v="Exact amount + date + transaction type"/>
    <n v="95"/>
    <x v="0"/>
    <s v="No"/>
    <s v="No duplicate candidate"/>
  </r>
  <r>
    <s v="1f3e92e3-0a90-4c73-aec3-27a7a5056511"/>
    <s v="LED100798"/>
    <d v="2024-04-28T00:00:00"/>
    <d v="2024-04-28T00:00:00"/>
    <n v="1100"/>
    <n v="1100"/>
    <n v="0"/>
    <n v="0"/>
    <s v="NEFT"/>
    <s v="NEFT PAYMENT"/>
    <x v="0"/>
    <s v="Exact reference + amount + date + type"/>
    <n v="100"/>
    <x v="0"/>
    <s v="No"/>
    <s v="No duplicate candidate"/>
  </r>
  <r>
    <s v="c5ab64ea-0396-4a7c-8be2-100c3b71479c"/>
    <s v="LED100799"/>
    <d v="2024-04-28T00:00:00"/>
    <d v="2024-04-28T00:00:00"/>
    <n v="50"/>
    <n v="50"/>
    <n v="0"/>
    <n v="0"/>
    <s v="UPI/4485"/>
    <s v="UPI PAYMENT/4485"/>
    <x v="1"/>
    <s v="Amount + type match with description similarity 100%"/>
    <n v="85"/>
    <x v="1"/>
    <s v="Yes"/>
    <s v="Duplicate candidate detected"/>
  </r>
  <r>
    <s v="6cf2ffde-995f-4b76-aa3f-fc89a49a063b"/>
    <s v="LED100800"/>
    <d v="2024-04-28T00:00:00"/>
    <d v="2024-04-28T00:00:00"/>
    <n v="10"/>
    <n v="10"/>
    <n v="0"/>
    <n v="0"/>
    <s v="UPI/GPAY"/>
    <s v="UPI PAYMENT/GPAY"/>
    <x v="0"/>
    <s v="Exact amount + date + transaction type"/>
    <n v="95"/>
    <x v="0"/>
    <s v="No"/>
    <s v="No duplicate candidate"/>
  </r>
  <r>
    <s v="5787039c-d591-4037-b405-41f479eab738"/>
    <s v="LED100801"/>
    <d v="2024-04-28T00:00:00"/>
    <d v="2024-04-28T00:00:00"/>
    <n v="50"/>
    <n v="50"/>
    <n v="0"/>
    <n v="0"/>
    <s v="UPI/4485"/>
    <s v="UPI PAYMENT/4485"/>
    <x v="0"/>
    <s v="Exact amount + date + transaction type"/>
    <n v="95"/>
    <x v="0"/>
    <s v="Yes"/>
    <s v="Duplicate candidate detected"/>
  </r>
  <r>
    <s v="3671ec65-a102-4085-a87e-dff09f0cbee8"/>
    <s v="LED100802"/>
    <d v="2024-04-28T00:00:00"/>
    <d v="2024-04-28T00:00:00"/>
    <n v="1"/>
    <n v="1"/>
    <n v="0"/>
    <n v="0"/>
    <s v="UPI/44851"/>
    <s v="UPI PAYMENT/44851"/>
    <x v="0"/>
    <s v="Exact amount + date + transaction type"/>
    <n v="95"/>
    <x v="0"/>
    <s v="No"/>
    <s v="No duplicate candidate"/>
  </r>
  <r>
    <s v="bb44094f-ffae-4f0c-a470-64db270135e3"/>
    <s v="LED100803"/>
    <d v="2024-04-28T00:00:00"/>
    <d v="2024-04-28T00:00:00"/>
    <n v="499"/>
    <n v="499"/>
    <n v="0"/>
    <n v="0"/>
    <s v="UPI/41198/"/>
    <s v="UPI PAYMENT/41198/"/>
    <x v="0"/>
    <s v="Exact amount + date + transaction type"/>
    <n v="95"/>
    <x v="0"/>
    <s v="No"/>
    <s v="No duplicate candidate"/>
  </r>
  <r>
    <s v="2693e44b-2c17-4ca1-bc5b-e2d5a70a8a16"/>
    <s v="LED100804"/>
    <d v="2024-04-28T00:00:00"/>
    <d v="2024-04-28T00:00:00"/>
    <n v="15"/>
    <n v="15"/>
    <n v="0"/>
    <n v="0"/>
    <s v="UPI/44852/JIOINAPPDIRECT"/>
    <s v="UPI PAYMENT/44852/JIOINAPPDIRECT"/>
    <x v="0"/>
    <s v="Exact amount + date + transaction type"/>
    <n v="95"/>
    <x v="0"/>
    <s v="No"/>
    <s v="No duplicate candidate"/>
  </r>
  <r>
    <s v="485c56b1-d27b-401c-91e7-1bf1819af65e"/>
    <s v="LED100805"/>
    <d v="2024-04-29T00:00:00"/>
    <d v="2024-04-29T00:00:00"/>
    <n v="650"/>
    <n v="650"/>
    <n v="0"/>
    <n v="0"/>
    <s v="NEFT"/>
    <s v="NEFT PAYMENT"/>
    <x v="0"/>
    <s v="Exact reference + amount + date + type"/>
    <n v="100"/>
    <x v="0"/>
    <s v="No"/>
    <s v="No duplicate candidate"/>
  </r>
  <r>
    <s v="fd59d877-049e-4437-999c-aa3708cf4f35"/>
    <s v="LED100806"/>
    <d v="2024-04-30T00:00:00"/>
    <d v="2024-04-30T00:00:00"/>
    <n v="50"/>
    <n v="50"/>
    <n v="0"/>
    <n v="0"/>
    <s v="NEFT"/>
    <s v="NEFT PAYMENT"/>
    <x v="0"/>
    <s v="Exact reference + amount + date + type"/>
    <n v="100"/>
    <x v="0"/>
    <s v="No"/>
    <s v="No duplicate candidate"/>
  </r>
  <r>
    <s v="3e3da725-f004-4c1d-bf1a-38152f6fd861"/>
    <s v="LED100807"/>
    <d v="2024-04-30T00:00:00"/>
    <d v="2024-04-30T00:00:00"/>
    <n v="70"/>
    <n v="70"/>
    <n v="0"/>
    <n v="0"/>
    <s v="UPI/4487"/>
    <s v="UPI PAYMENT/4487"/>
    <x v="0"/>
    <s v="Exact amount + date + transaction type"/>
    <n v="95"/>
    <x v="0"/>
    <s v="No"/>
    <s v="No duplicate candidate"/>
  </r>
  <r>
    <s v="8d035697-5860-4674-b4f9-c3069fd3430b"/>
    <s v="LED100808"/>
    <d v="2024-04-30T00:00:00"/>
    <d v="2024-04-30T00:00:00"/>
    <n v="10"/>
    <n v="10"/>
    <n v="0"/>
    <n v="0"/>
    <s v="UPI/41213"/>
    <s v="UPI PAYMENT/41213"/>
    <x v="0"/>
    <s v="Exact amount + date + transaction type"/>
    <n v="95"/>
    <x v="0"/>
    <s v="No"/>
    <s v="No duplicate candidate"/>
  </r>
  <r>
    <s v="d6cceb33-4191-4155-a920-409f86132852"/>
    <s v="LED100809"/>
    <d v="2024-04-30T00:00:00"/>
    <d v="2024-04-30T00:00:00"/>
    <n v="15"/>
    <n v="15"/>
    <n v="0"/>
    <n v="0"/>
    <s v="UPI/41213"/>
    <s v="UPI PAYMENT/41213"/>
    <x v="0"/>
    <s v="Exact amount + date + transaction type"/>
    <n v="95"/>
    <x v="0"/>
    <s v="No"/>
    <s v="No duplicate candidate"/>
  </r>
  <r>
    <s v="0496d418-8cae-4098-a82d-cbd898b35b41"/>
    <s v="LED100810"/>
    <d v="2024-04-30T00:00:00"/>
    <d v="2024-04-30T00:00:00"/>
    <n v="480"/>
    <n v="480"/>
    <n v="0"/>
    <n v="0"/>
    <s v="UPI/4487"/>
    <s v="UPI PAYMENT/4487"/>
    <x v="0"/>
    <s v="Exact amount + date + transaction type"/>
    <n v="95"/>
    <x v="0"/>
    <s v="No"/>
    <s v="No duplicate candidate"/>
  </r>
  <r>
    <s v="34f26469-0133-4b42-b636-4723bfe87d5a"/>
    <s v="LED100811"/>
    <d v="2024-04-30T00:00:00"/>
    <d v="2024-04-30T00:00:00"/>
    <n v="1000"/>
    <n v="1000"/>
    <n v="0"/>
    <n v="0"/>
    <s v="UPI/4487"/>
    <s v="UPI PAYMENT/4487"/>
    <x v="0"/>
    <s v="Exact amount + date + transaction type"/>
    <n v="95"/>
    <x v="0"/>
    <s v="No"/>
    <s v="No duplicate candidate"/>
  </r>
  <r>
    <s v="871f81b0-9a74-44f7-b768-dc8dfe6b1162"/>
    <s v="LED100812"/>
    <d v="2024-04-30T00:00:00"/>
    <d v="2024-04-30T00:00:00"/>
    <n v="130"/>
    <n v="130"/>
    <n v="0"/>
    <n v="0"/>
    <s v="UPI/GPAY"/>
    <s v="UPI PAYMENT/GPAY"/>
    <x v="0"/>
    <s v="Exact amount + date + transaction type"/>
    <n v="95"/>
    <x v="0"/>
    <s v="No"/>
    <s v="No duplicate candidate"/>
  </r>
  <r>
    <s v="ef2366dd-5641-4f8d-b20d-7d7939805ada"/>
    <s v="LED100813"/>
    <d v="2024-04-30T00:00:00"/>
    <d v="2024-04-30T00:00:00"/>
    <n v="600"/>
    <n v="600"/>
    <n v="0"/>
    <n v="0"/>
    <s v="UPI/41"/>
    <s v="UPI PAYMENT/41"/>
    <x v="0"/>
    <s v="Exact amount + date + transaction type"/>
    <n v="95"/>
    <x v="0"/>
    <s v="No"/>
    <s v="No duplicate candidate"/>
  </r>
  <r>
    <s v="bba4b15f-1786-439f-a2a1-bf997b3b4752"/>
    <s v="LED100814"/>
    <d v="2024-05-01T00:00:00"/>
    <d v="2024-05-01T00:00:00"/>
    <n v="1650"/>
    <n v="1650"/>
    <n v="0"/>
    <n v="0"/>
    <s v="NEFT"/>
    <s v="NEFT PAYMENT"/>
    <x v="0"/>
    <s v="Exact reference + amount + date + type"/>
    <n v="100"/>
    <x v="0"/>
    <s v="No"/>
    <s v="No duplicate candidate"/>
  </r>
  <r>
    <s v="677511e3-dfb7-4881-958d-5dde8afffba0"/>
    <s v="LED100815"/>
    <d v="2024-05-01T00:00:00"/>
    <d v="2024-05-01T00:00:00"/>
    <n v="242"/>
    <n v="242"/>
    <n v="0"/>
    <n v="0"/>
    <s v="UPI/JIOINAPPDIRECT/"/>
    <s v="UPI PAYMENT/JIOINAPPDIRECT/"/>
    <x v="0"/>
    <s v="Exact amount + date + transaction type"/>
    <n v="95"/>
    <x v="0"/>
    <s v="No"/>
    <s v="No duplicate candidate"/>
  </r>
  <r>
    <s v="21384645-789d-4f28-adbd-ee1fcb2c11c4"/>
    <s v="LED100816"/>
    <d v="2024-04-30T00:00:00"/>
    <d v="2024-04-30T00:00:00"/>
    <n v="47"/>
    <n v="47"/>
    <n v="0"/>
    <n v="0"/>
    <s v="518881000"/>
    <s v="518881000"/>
    <x v="0"/>
    <s v="Exact amount + date + transaction type"/>
    <n v="95"/>
    <x v="0"/>
    <s v="No"/>
    <s v="No duplicate candidate"/>
  </r>
  <r>
    <s v="7a29d991-5022-4824-9ad1-a03be38ae62f"/>
    <s v="LED100817"/>
    <d v="2024-05-02T00:00:00"/>
    <d v="2024-05-02T00:00:00"/>
    <n v="860"/>
    <n v="860"/>
    <n v="0"/>
    <n v="0"/>
    <s v="NEFT"/>
    <s v="NEFT PAYMENT"/>
    <x v="0"/>
    <s v="Exact reference + amount + date + type"/>
    <n v="100"/>
    <x v="0"/>
    <s v="No"/>
    <s v="No duplicate candidate"/>
  </r>
  <r>
    <s v="8ebb1040-10d1-4bbb-8134-630b5d3e5831"/>
    <s v="LED100818"/>
    <d v="2024-05-02T00:00:00"/>
    <d v="2024-05-03T00:00:00"/>
    <n v="20"/>
    <n v="20"/>
    <n v="0"/>
    <n v="1"/>
    <s v="UPI/41232"/>
    <s v="UPI PAYMENT/41232"/>
    <x v="3"/>
    <s v="Amount + type match, date difference 1 day(s), description similarity 100%"/>
    <n v="80"/>
    <x v="1"/>
    <s v="No"/>
    <s v="No duplicate candidate"/>
  </r>
  <r>
    <s v="1a9f6f0a-2a9a-48d9-98ac-70440ef6c411"/>
    <s v="LED100819"/>
    <d v="2024-05-02T00:00:00"/>
    <d v="2024-05-02T00:00:00"/>
    <n v="10"/>
    <n v="10"/>
    <n v="0"/>
    <n v="0"/>
    <s v="UPI/41232"/>
    <s v="UPI PAYMENT/41232"/>
    <x v="0"/>
    <s v="Exact amount + date + transaction type"/>
    <n v="95"/>
    <x v="0"/>
    <s v="No"/>
    <s v="No duplicate candidate"/>
  </r>
  <r>
    <s v="647ab463-69b0-44a6-aff9-1ccc2b286aac"/>
    <s v="LED100820"/>
    <d v="2024-05-02T00:00:00"/>
    <d v="2024-05-02T00:00:00"/>
    <n v="80"/>
    <n v="80"/>
    <n v="0"/>
    <n v="0"/>
    <s v="UPI/PAYTMap"/>
    <s v="UPI PAYMENT/PAYTMAP"/>
    <x v="0"/>
    <s v="Exact amount + date + transaction type"/>
    <n v="95"/>
    <x v="0"/>
    <s v="No"/>
    <s v="No duplicate candidate"/>
  </r>
  <r>
    <s v="97d36ab3-0c08-4eeb-8f67-2bc3855889d7"/>
    <s v="LED100821"/>
    <d v="2024-05-02T00:00:00"/>
    <d v="2024-05-02T00:00:00"/>
    <n v="1500"/>
    <n v="1500"/>
    <n v="0"/>
    <n v="0"/>
    <s v="AMZN"/>
    <s v="AMZN"/>
    <x v="0"/>
    <s v="Exact amount + date + transaction type"/>
    <n v="95"/>
    <x v="0"/>
    <s v="No"/>
    <s v="No duplicate candidate"/>
  </r>
  <r>
    <s v="c4676bc4-dd7c-4c36-b6b9-64645fd25530"/>
    <s v="LED100822"/>
    <d v="2024-05-02T00:00:00"/>
    <d v="2024-05-02T00:00:00"/>
    <n v="130"/>
    <n v="130"/>
    <n v="0"/>
    <n v="0"/>
    <s v="UPI/GPAY"/>
    <s v="UPI PAYMENT/GPAY"/>
    <x v="1"/>
    <s v="Amount + type match with description similarity 100%"/>
    <n v="85"/>
    <x v="1"/>
    <s v="Yes"/>
    <s v="Duplicate candidate detected"/>
  </r>
  <r>
    <s v="480a7681-c5f5-4a9f-b57a-69e8c889cab2"/>
    <s v="LED100823"/>
    <d v="2024-05-02T00:00:00"/>
    <d v="2024-05-02T00:00:00"/>
    <n v="130"/>
    <n v="130"/>
    <n v="0"/>
    <n v="0"/>
    <s v="UPI/GPAY"/>
    <s v="UPI PAYMENT/GPAY"/>
    <x v="1"/>
    <s v="Amount + type match with description similarity 100%"/>
    <n v="85"/>
    <x v="1"/>
    <s v="Yes"/>
    <s v="Duplicate candidate detected"/>
  </r>
  <r>
    <s v="273f8cf5-89b5-4bc0-93f9-5579657b690f"/>
    <s v="LED100824"/>
    <d v="2024-05-02T00:00:00"/>
    <d v="2024-05-02T00:00:00"/>
    <n v="400"/>
    <n v="400"/>
    <n v="0"/>
    <n v="0"/>
    <s v="UPI/41234"/>
    <s v="UPI PAYMENT/41234"/>
    <x v="0"/>
    <s v="Exact amount + date + transaction type"/>
    <n v="95"/>
    <x v="0"/>
    <s v="No"/>
    <s v="No duplicate candidate"/>
  </r>
  <r>
    <s v="7a6ce6c6-9f59-4718-85a5-9fb34af27dd5"/>
    <s v="LED100825"/>
    <d v="2024-05-02T00:00:00"/>
    <d v="2024-05-02T00:00:00"/>
    <n v="130"/>
    <n v="130"/>
    <n v="0"/>
    <n v="0"/>
    <s v="UPI/GPAY"/>
    <s v="UPI PAYMENT/GPAY"/>
    <x v="0"/>
    <s v="Exact amount + date + transaction type"/>
    <n v="95"/>
    <x v="0"/>
    <s v="Yes"/>
    <s v="Duplicate candidate detected"/>
  </r>
  <r>
    <s v="e4c7abc2-955a-4555-862f-70563324d33e"/>
    <s v="LED100826"/>
    <d v="2024-05-03T00:00:00"/>
    <d v="2024-05-03T00:00:00"/>
    <n v="320"/>
    <n v="320"/>
    <n v="0"/>
    <n v="0"/>
    <s v="NEFT"/>
    <s v="NEFT PAYMENT"/>
    <x v="0"/>
    <s v="Exact reference + amount + date + type"/>
    <n v="100"/>
    <x v="0"/>
    <s v="No"/>
    <s v="No duplicate candidate"/>
  </r>
  <r>
    <s v="14326b1d-1770-4776-9b6a-7a90e5e4bbe0"/>
    <s v="LED100827"/>
    <d v="2024-05-03T00:00:00"/>
    <d v="2024-05-03T00:00:00"/>
    <n v="50"/>
    <n v="50"/>
    <n v="0"/>
    <n v="0"/>
    <s v="UPI/PAYTMap"/>
    <s v="UPI PAYMENT/PAYTMAP"/>
    <x v="0"/>
    <s v="Exact amount + date + transaction type"/>
    <n v="95"/>
    <x v="0"/>
    <s v="No"/>
    <s v="No duplicate candidate"/>
  </r>
  <r>
    <s v="55b55f0e-0b96-4b6e-9aa0-049d73bc4ed9"/>
    <s v="LED100828"/>
    <d v="2024-05-03T00:00:00"/>
    <d v="2024-05-03T00:00:00"/>
    <n v="180"/>
    <n v="180"/>
    <n v="0"/>
    <n v="0"/>
    <s v="UPI/PAYTMmp"/>
    <s v="UPI PAYMENT/PAYTMMP"/>
    <x v="0"/>
    <s v="Exact amount + date + transaction type"/>
    <n v="95"/>
    <x v="0"/>
    <s v="No"/>
    <s v="No duplicate candidate"/>
  </r>
  <r>
    <s v="61dcecc9-1d67-4edc-a8a6-50d066a74c1b"/>
    <s v="LED100340"/>
    <d v="2024-05-04T00:00:00"/>
    <d v="2023-12-01T00:00:00"/>
    <n v="1380"/>
    <n v="1575"/>
    <n v="195"/>
    <n v="-155"/>
    <s v="NEFT"/>
    <s v="NEFT PAYMENT"/>
    <x v="4"/>
    <s v="Description similarity 100% but amount differs by ₹195.00"/>
    <n v="80"/>
    <x v="1"/>
    <s v="No"/>
    <s v="No duplicate candidate"/>
  </r>
  <r>
    <s v="f3b86d1b-1889-44d6-8907-786dd2ed001e"/>
    <s v="LED100830"/>
    <d v="2024-05-04T00:00:00"/>
    <d v="2024-05-04T00:00:00"/>
    <n v="20"/>
    <n v="20"/>
    <n v="0"/>
    <n v="0"/>
    <s v="UPI/GPAY"/>
    <s v="UPI PAYMENT/GPAY"/>
    <x v="0"/>
    <s v="Exact amount + date + transaction type"/>
    <n v="95"/>
    <x v="0"/>
    <s v="No"/>
    <s v="No duplicate candidate"/>
  </r>
  <r>
    <s v="f34cd85b-f0ce-4c09-852a-b4b324eda39e"/>
    <s v="LED100831"/>
    <d v="2024-05-04T00:00:00"/>
    <d v="2024-05-04T00:00:00"/>
    <n v="130"/>
    <n v="130"/>
    <n v="0"/>
    <n v="0"/>
    <s v="UPI/GPAY"/>
    <s v="UPI PAYMENT/GPAY"/>
    <x v="0"/>
    <s v="Exact amount + date + transaction type"/>
    <n v="95"/>
    <x v="0"/>
    <s v="No"/>
    <s v="No duplicate candidate"/>
  </r>
  <r>
    <s v="196523fd-76f6-4768-a8ce-2f18d4267f9e"/>
    <s v="LED100832"/>
    <d v="2024-05-04T00:00:00"/>
    <d v="2024-05-04T00:00:00"/>
    <n v="400"/>
    <n v="400"/>
    <n v="0"/>
    <n v="0"/>
    <s v="UPI/41252"/>
    <s v="UPI PAYMENT/41252"/>
    <x v="0"/>
    <s v="Exact amount + date + transaction type"/>
    <n v="95"/>
    <x v="0"/>
    <s v="No"/>
    <s v="No duplicate candidate"/>
  </r>
  <r>
    <s v="dcca75fb-d339-4ffe-b22d-954bcbbca240"/>
    <s v="LED100833"/>
    <d v="2024-05-05T00:00:00"/>
    <d v="2024-05-05T00:00:00"/>
    <n v="800"/>
    <n v="800"/>
    <n v="0"/>
    <n v="0"/>
    <s v="NEFT"/>
    <s v="NEFT PAYMENT"/>
    <x v="0"/>
    <s v="Exact reference + amount + date + type"/>
    <n v="100"/>
    <x v="0"/>
    <s v="No"/>
    <s v="No duplicate candidate"/>
  </r>
  <r>
    <s v="0637105c-449b-444e-af57-b2e4931fbdea"/>
    <s v="LED100834"/>
    <d v="2024-05-05T00:00:00"/>
    <d v="2024-05-05T00:00:00"/>
    <n v="110"/>
    <n v="110"/>
    <n v="0"/>
    <n v="0"/>
    <s v="UPI/4492"/>
    <s v="UPI PAYMENT/4492"/>
    <x v="1"/>
    <s v="Amount + type match with description similarity 100%"/>
    <n v="85"/>
    <x v="1"/>
    <s v="No"/>
    <s v="No duplicate candidate"/>
  </r>
  <r>
    <s v="330e7027-ae47-4c04-82c1-91d807149cd2"/>
    <s v="LED100835"/>
    <d v="2024-05-05T00:00:00"/>
    <d v="2024-05-05T00:00:00"/>
    <n v="80"/>
    <n v="80"/>
    <n v="0"/>
    <n v="0"/>
    <s v="UPI/4492"/>
    <s v="UPI PAYMENT/4492"/>
    <x v="0"/>
    <s v="Exact amount + date + transaction type"/>
    <n v="95"/>
    <x v="0"/>
    <s v="No"/>
    <s v="No duplicate candidate"/>
  </r>
  <r>
    <s v="b9b6bad7-6254-46fb-aa99-37f5babcc33d"/>
    <s v="LED100836"/>
    <d v="2024-05-05T00:00:00"/>
    <d v="2024-05-05T00:00:00"/>
    <n v="130"/>
    <n v="130"/>
    <n v="0"/>
    <n v="0"/>
    <s v="UPI/GPAY"/>
    <s v="UPI PAYMENT/GPAY"/>
    <x v="0"/>
    <s v="Exact amount + date + transaction type"/>
    <n v="95"/>
    <x v="0"/>
    <s v="No"/>
    <s v="No duplicate candidate"/>
  </r>
  <r>
    <s v="b36a0b25-74d6-4f3a-a22d-92e4705e2912"/>
    <s v="LED100837"/>
    <d v="2024-05-05T00:00:00"/>
    <d v="2024-05-05T00:00:00"/>
    <n v="110"/>
    <n v="110"/>
    <n v="0"/>
    <n v="0"/>
    <s v="UPI/41267"/>
    <s v="UPI PAYMENT/41267"/>
    <x v="0"/>
    <s v="Exact amount + date + transaction type"/>
    <n v="95"/>
    <x v="0"/>
    <s v="No"/>
    <s v="No duplicate candidate"/>
  </r>
  <r>
    <s v="bccb9467-1f3e-4a20-a6ba-d2b18c216feb"/>
    <s v="LED100838"/>
    <d v="2024-05-06T00:00:00"/>
    <d v="2024-05-06T00:00:00"/>
    <n v="250"/>
    <n v="250"/>
    <n v="0"/>
    <n v="0"/>
    <s v="NEFT"/>
    <s v="NEFT PAYMENT"/>
    <x v="0"/>
    <s v="Exact reference + amount + date + type"/>
    <n v="100"/>
    <x v="0"/>
    <s v="No"/>
    <s v="No duplicate candidate"/>
  </r>
  <r>
    <s v="811b5dfe-d24b-420a-9701-e0fbd6460b74"/>
    <s v="LED100839"/>
    <d v="2024-05-06T00:00:00"/>
    <d v="2024-05-06T00:00:00"/>
    <n v="20"/>
    <n v="20"/>
    <n v="0"/>
    <n v="0"/>
    <s v="UPI/PAYTMvp"/>
    <s v="UPI PAYMENT/PAYTMVP"/>
    <x v="1"/>
    <s v="Amount + type match with description similarity 100%"/>
    <n v="85"/>
    <x v="1"/>
    <s v="No"/>
    <s v="No duplicate candidate"/>
  </r>
  <r>
    <s v="e42b0839-6287-4080-9234-0de28682ee0e"/>
    <s v="LED100840"/>
    <d v="2024-05-06T00:00:00"/>
    <d v="2024-05-06T00:00:00"/>
    <n v="130"/>
    <n v="130"/>
    <n v="0"/>
    <n v="0"/>
    <s v="UPI/4493"/>
    <s v="UPI PAYMENT/4493"/>
    <x v="1"/>
    <s v="Amount + type match with description similarity 100%"/>
    <n v="85"/>
    <x v="1"/>
    <s v="No"/>
    <s v="No duplicate candidate"/>
  </r>
  <r>
    <s v="73e3e6b0-5bda-4368-9bc6-f1d8a5628bb4"/>
    <s v="LED100841"/>
    <d v="2024-05-06T00:00:00"/>
    <d v="2024-05-06T00:00:00"/>
    <n v="130"/>
    <n v="130"/>
    <n v="0"/>
    <n v="0"/>
    <s v="UPI/GPAY"/>
    <s v="UPI PAYMENT/GPAY"/>
    <x v="0"/>
    <s v="Exact amount + date + transaction type"/>
    <n v="95"/>
    <x v="0"/>
    <s v="No"/>
    <s v="No duplicate candidate"/>
  </r>
  <r>
    <s v="8a0f0f1d-02f2-471e-81bb-b5dea44309f4"/>
    <s v="LED100842"/>
    <d v="2024-05-06T00:00:00"/>
    <d v="2024-05-06T00:00:00"/>
    <n v="20"/>
    <n v="20"/>
    <n v="0"/>
    <n v="0"/>
    <s v="UPI/4493"/>
    <s v="UPI PAYMENT/4493"/>
    <x v="1"/>
    <s v="Amount + type match with description similarity 100%"/>
    <n v="85"/>
    <x v="1"/>
    <s v="No"/>
    <s v="No duplicate candidate"/>
  </r>
  <r>
    <s v="603bb328-4050-415f-b8d6-22d8ddd45959"/>
    <s v="LED100843"/>
    <d v="2024-05-06T00:00:00"/>
    <d v="2024-05-06T00:00:00"/>
    <n v="20"/>
    <n v="20"/>
    <n v="0"/>
    <n v="0"/>
    <s v="UPI/PAYTM"/>
    <s v="UPI PAYMENT/PAYTM"/>
    <x v="0"/>
    <s v="Exact amount + date + transaction type"/>
    <n v="95"/>
    <x v="0"/>
    <s v="No"/>
    <s v="No duplicate candidate"/>
  </r>
  <r>
    <s v="a0cb180f-0d4b-4fd2-8c68-a00c5d043815"/>
    <s v="LED100879"/>
    <d v="2024-05-07T00:00:00"/>
    <d v="2024-05-12T00:00:00"/>
    <n v="1700"/>
    <n v="1750"/>
    <n v="50"/>
    <n v="5"/>
    <s v="NEFT"/>
    <s v="NEFT PAYMENT"/>
    <x v="4"/>
    <s v="Description similarity 100% but amount differs by ₹50.00"/>
    <n v="80"/>
    <x v="1"/>
    <s v="No"/>
    <s v="No duplicate candidate"/>
  </r>
  <r>
    <s v="d35629ad-db75-483f-8ebc-fa9833468f9c"/>
    <s v="LED100845"/>
    <d v="2024-05-07T00:00:00"/>
    <d v="2024-05-07T00:00:00"/>
    <n v="10"/>
    <n v="10"/>
    <n v="0"/>
    <n v="0"/>
    <s v="UPI/4494"/>
    <s v="UPI PAYMENT/4494"/>
    <x v="0"/>
    <s v="Exact amount + date + transaction type"/>
    <n v="95"/>
    <x v="0"/>
    <s v="No"/>
    <s v="No duplicate candidate"/>
  </r>
  <r>
    <s v="96a8396d-5075-43e0-9676-ec189c238104"/>
    <s v="LED100846"/>
    <d v="2024-05-07T00:00:00"/>
    <d v="2024-05-07T00:00:00"/>
    <n v="150"/>
    <n v="150"/>
    <n v="0"/>
    <n v="0"/>
    <s v="UPI/4494"/>
    <s v="UPI PAYMENT/4494"/>
    <x v="0"/>
    <s v="Exact amount + date + transaction type"/>
    <n v="95"/>
    <x v="0"/>
    <s v="No"/>
    <s v="No duplicate candidate"/>
  </r>
  <r>
    <s v="edc422af-eef4-4c75-9f54-e7ed8c24796c"/>
    <s v="LED100847"/>
    <d v="2024-05-07T00:00:00"/>
    <d v="2024-05-07T00:00:00"/>
    <n v="310"/>
    <n v="310"/>
    <n v="0"/>
    <n v="0"/>
    <s v="UPI/PAYTM"/>
    <s v="UPI PAYMENT/PAYTM"/>
    <x v="0"/>
    <s v="Exact amount + date + transaction type"/>
    <n v="95"/>
    <x v="0"/>
    <s v="No"/>
    <s v="No duplicate candidate"/>
  </r>
  <r>
    <s v="e32eb683-aefb-4611-8431-03f8460adb84"/>
    <s v="LED100848"/>
    <d v="2024-05-07T00:00:00"/>
    <d v="2024-05-07T00:00:00"/>
    <n v="30"/>
    <n v="30"/>
    <n v="0"/>
    <n v="0"/>
    <s v="UPI/4494"/>
    <s v="UPI PAYMENT/4494"/>
    <x v="0"/>
    <s v="Exact amount + date + transaction type"/>
    <n v="95"/>
    <x v="0"/>
    <s v="No"/>
    <s v="No duplicate candidate"/>
  </r>
  <r>
    <s v="2f538e5f-64cf-4990-bf87-c644770ff18d"/>
    <s v="LED100849"/>
    <d v="2024-05-07T00:00:00"/>
    <d v="2024-05-07T00:00:00"/>
    <n v="1500"/>
    <n v="1500"/>
    <n v="0"/>
    <n v="0"/>
    <s v="UPI/4494"/>
    <s v="UPI PAYMENT/4494"/>
    <x v="0"/>
    <s v="Exact amount + date + transaction type"/>
    <n v="95"/>
    <x v="0"/>
    <s v="No"/>
    <s v="No duplicate candidate"/>
  </r>
  <r>
    <s v="c1a6ae0d-a73f-4219-9e99-7b0b3d8cf600"/>
    <s v="LED100850"/>
    <d v="2024-05-07T00:00:00"/>
    <d v="2024-05-07T00:00:00"/>
    <n v="600"/>
    <n v="600"/>
    <n v="0"/>
    <n v="0"/>
    <s v="UPI/41284"/>
    <s v="UPI PAYMENT/41284"/>
    <x v="0"/>
    <s v="Exact amount + date + transaction type"/>
    <n v="95"/>
    <x v="0"/>
    <s v="No"/>
    <s v="No duplicate candidate"/>
  </r>
  <r>
    <s v="dc9033f5-ae18-41f9-92fc-02141a9d23d6"/>
    <s v="LED100851"/>
    <d v="2024-05-07T00:00:00"/>
    <d v="2024-05-07T00:00:00"/>
    <n v="130"/>
    <n v="130"/>
    <n v="0"/>
    <n v="0"/>
    <s v="UPI/GPAY"/>
    <s v="UPI PAYMENT/GPAY"/>
    <x v="1"/>
    <s v="Amount + type match with description similarity 100%"/>
    <n v="85"/>
    <x v="1"/>
    <s v="Yes"/>
    <s v="Duplicate candidate detected"/>
  </r>
  <r>
    <s v="d63df3de-1e30-4bbb-885a-d586fffcf5de"/>
    <s v="LED100852"/>
    <d v="2024-05-07T00:00:00"/>
    <d v="2024-05-07T00:00:00"/>
    <n v="130"/>
    <n v="130"/>
    <n v="0"/>
    <n v="0"/>
    <s v="UPI/GPAY"/>
    <s v="UPI PAYMENT/GPAY"/>
    <x v="0"/>
    <s v="Exact amount + date + transaction type"/>
    <n v="95"/>
    <x v="0"/>
    <s v="Yes"/>
    <s v="Duplicate candidate detected"/>
  </r>
  <r>
    <s v="f7c914d8-dfc6-4467-ac97-768ce788631a"/>
    <s v="LED100853"/>
    <d v="2024-05-07T00:00:00"/>
    <d v="2024-05-07T00:00:00"/>
    <n v="19"/>
    <n v="19"/>
    <n v="0"/>
    <n v="0"/>
    <s v="UPI/GPAYRECHARGE"/>
    <s v="UPI PAYMENT/GPAYRECHARGE"/>
    <x v="0"/>
    <s v="Exact amount + date + transaction type"/>
    <n v="95"/>
    <x v="0"/>
    <s v="No"/>
    <s v="No duplicate candidate"/>
  </r>
  <r>
    <s v="fb0898df-03aa-4f3f-a35a-d962da0d4df0"/>
    <s v="LED100854"/>
    <d v="2024-05-08T00:00:00"/>
    <d v="2024-05-08T00:00:00"/>
    <n v="860"/>
    <n v="860"/>
    <n v="0"/>
    <n v="0"/>
    <s v="NEFT"/>
    <s v="NEFT PAYMENT"/>
    <x v="0"/>
    <s v="Exact reference + amount + date + type"/>
    <n v="100"/>
    <x v="0"/>
    <s v="No"/>
    <s v="No duplicate candidate"/>
  </r>
  <r>
    <s v="f33ed4cf-7758-48e5-bce8-1d47947f7bb5"/>
    <s v="LED100855"/>
    <d v="2024-05-08T00:00:00"/>
    <d v="2024-05-08T00:00:00"/>
    <n v="10"/>
    <n v="10"/>
    <n v="0"/>
    <n v="0"/>
    <s v="UPI/41296"/>
    <s v="UPI PAYMENT/41296"/>
    <x v="0"/>
    <s v="Exact amount + date + transaction type"/>
    <n v="95"/>
    <x v="0"/>
    <s v="No"/>
    <s v="No duplicate candidate"/>
  </r>
  <r>
    <s v="d018937b-c15b-4d7d-9f18-15a44e989b69"/>
    <s v="LED100856"/>
    <d v="2024-05-08T00:00:00"/>
    <d v="2024-05-08T00:00:00"/>
    <n v="80"/>
    <n v="80"/>
    <n v="0"/>
    <n v="0"/>
    <s v="UPI/PAYTMap"/>
    <s v="UPI PAYMENT/PAYTMAP"/>
    <x v="0"/>
    <s v="Exact amount + date + transaction type"/>
    <n v="95"/>
    <x v="0"/>
    <s v="No"/>
    <s v="No duplicate candidate"/>
  </r>
  <r>
    <s v="fdc988b6-c087-4b75-9459-a5433148e943"/>
    <s v="LED100857"/>
    <d v="2024-05-08T00:00:00"/>
    <d v="2024-05-08T00:00:00"/>
    <n v="50"/>
    <n v="50"/>
    <n v="0"/>
    <n v="0"/>
    <s v="UPI/PAYTMap"/>
    <s v="UPI PAYMENT/PAYTMAP"/>
    <x v="0"/>
    <s v="Exact amount + date + transaction type"/>
    <n v="95"/>
    <x v="0"/>
    <s v="No"/>
    <s v="No duplicate candidate"/>
  </r>
  <r>
    <s v="ab2722fa-4db7-4bd6-ac92-67da806770c3"/>
    <s v="LED100858"/>
    <d v="2024-05-08T00:00:00"/>
    <d v="2024-05-08T00:00:00"/>
    <n v="250"/>
    <n v="250"/>
    <n v="0"/>
    <n v="0"/>
    <s v="UPI/GPAY"/>
    <s v="UPI PAYMENT/GPAY"/>
    <x v="0"/>
    <s v="Exact amount + date + transaction type"/>
    <n v="95"/>
    <x v="0"/>
    <s v="No"/>
    <s v="No duplicate candidate"/>
  </r>
  <r>
    <s v="7cbb62cb-58c9-4d7a-9e70-4c73656b4357"/>
    <s v="LED100859"/>
    <d v="2024-05-08T00:00:00"/>
    <d v="2024-05-08T00:00:00"/>
    <n v="200"/>
    <n v="200"/>
    <n v="0"/>
    <n v="0"/>
    <s v="UPI/4495"/>
    <s v="UPI PAYMENT/4495"/>
    <x v="0"/>
    <s v="Exact amount + date + transaction type"/>
    <n v="95"/>
    <x v="0"/>
    <s v="No"/>
    <s v="No duplicate candidate"/>
  </r>
  <r>
    <s v="7f51347c-e02c-4f1e-abb4-4213890448ae"/>
    <s v="LED100860"/>
    <d v="2024-05-09T00:00:00"/>
    <d v="2024-05-09T00:00:00"/>
    <n v="100"/>
    <n v="100"/>
    <n v="0"/>
    <n v="0"/>
    <s v="UPI/4496"/>
    <s v="UPI PAYMENT/4496"/>
    <x v="0"/>
    <s v="Exact amount + date + transaction type"/>
    <n v="95"/>
    <x v="0"/>
    <s v="No"/>
    <s v="No duplicate candidate"/>
  </r>
  <r>
    <s v="dbbfc153-bd45-4094-8eeb-538d435adf9e"/>
    <s v="LED100861"/>
    <d v="2024-05-09T00:00:00"/>
    <d v="2024-05-09T00:00:00"/>
    <n v="30"/>
    <n v="30"/>
    <n v="0"/>
    <n v="0"/>
    <s v="UPI/4496"/>
    <s v="UPI PAYMENT/4496"/>
    <x v="1"/>
    <s v="Amount + type match with description similarity 100%"/>
    <n v="85"/>
    <x v="1"/>
    <s v="Yes"/>
    <s v="Duplicate candidate detected"/>
  </r>
  <r>
    <s v="b89c59e1-2116-4cfc-a8ec-7440c36a6853"/>
    <s v="LED100862"/>
    <d v="2024-05-09T00:00:00"/>
    <d v="2024-05-09T00:00:00"/>
    <n v="20"/>
    <n v="20"/>
    <n v="0"/>
    <n v="0"/>
    <s v="UPI/PAYTMlp"/>
    <s v="UPI PAYMENT/PAYTMLP"/>
    <x v="1"/>
    <s v="Amount + type match with description similarity 100%"/>
    <n v="85"/>
    <x v="1"/>
    <s v="No"/>
    <s v="No duplicate candidate"/>
  </r>
  <r>
    <s v="46c380b7-c110-4b54-98f7-6acd26467908"/>
    <s v="LED100863"/>
    <d v="2024-05-09T00:00:00"/>
    <d v="2024-05-09T00:00:00"/>
    <n v="25"/>
    <n v="25"/>
    <n v="0"/>
    <n v="0"/>
    <s v="UPI/BHARATPE"/>
    <s v="UPI PAYMENT/BHARATPE"/>
    <x v="0"/>
    <s v="Exact amount + date + transaction type"/>
    <n v="95"/>
    <x v="0"/>
    <s v="No"/>
    <s v="No duplicate candidate"/>
  </r>
  <r>
    <s v="97769eb5-f3e4-4f68-af86-233a0616915d"/>
    <s v="LED100864"/>
    <d v="2024-05-09T00:00:00"/>
    <d v="2024-05-09T00:00:00"/>
    <n v="20"/>
    <n v="20"/>
    <n v="0"/>
    <n v="0"/>
    <s v="UPI/4496"/>
    <s v="UPI PAYMENT/4496"/>
    <x v="0"/>
    <s v="Exact amount + date + transaction type"/>
    <n v="95"/>
    <x v="0"/>
    <s v="No"/>
    <s v="No duplicate candidate"/>
  </r>
  <r>
    <s v="f8df0c27-3ef1-450d-a5b5-b9ce9de6fddb"/>
    <s v="LED100865"/>
    <d v="2024-05-09T00:00:00"/>
    <d v="2024-05-09T00:00:00"/>
    <n v="900"/>
    <n v="900"/>
    <n v="0"/>
    <n v="0"/>
    <s v="UPI/44964"/>
    <s v="UPI PAYMENT/44964"/>
    <x v="0"/>
    <s v="Exact amount + date + transaction type"/>
    <n v="95"/>
    <x v="0"/>
    <s v="No"/>
    <s v="No duplicate candidate"/>
  </r>
  <r>
    <s v="8548326a-8594-46b2-97de-1adcaab9a74a"/>
    <s v="LED100866"/>
    <d v="2024-05-09T00:00:00"/>
    <d v="2024-05-09T00:00:00"/>
    <n v="50"/>
    <n v="50"/>
    <n v="0"/>
    <n v="0"/>
    <s v="IMPS"/>
    <s v="IMPS PAYMENT"/>
    <x v="0"/>
    <s v="Exact amount + date + transaction type"/>
    <n v="95"/>
    <x v="0"/>
    <s v="No"/>
    <s v="No duplicate candidate"/>
  </r>
  <r>
    <s v="c785f6d9-41ce-4222-8e7e-56acda2689b2"/>
    <s v="LED100867"/>
    <d v="2024-05-09T00:00:00"/>
    <d v="2024-05-09T00:00:00"/>
    <n v="19"/>
    <n v="19"/>
    <n v="0"/>
    <n v="0"/>
    <s v="UPI/GPAYRECHARGE"/>
    <s v="UPI PAYMENT/GPAYRECHARGE"/>
    <x v="0"/>
    <s v="Exact amount + date + transaction type"/>
    <n v="95"/>
    <x v="0"/>
    <s v="No"/>
    <s v="No duplicate candidate"/>
  </r>
  <r>
    <s v="2e15a8d1-b54d-4048-b590-f779e0aba88d"/>
    <s v="LED100868"/>
    <d v="2024-05-10T00:00:00"/>
    <d v="2024-05-10T00:00:00"/>
    <n v="4000"/>
    <n v="4000"/>
    <n v="0"/>
    <n v="0"/>
    <s v="UPI/44971"/>
    <s v="UPI PAYMENT/44971"/>
    <x v="0"/>
    <s v="Exact amount + date + transaction type"/>
    <n v="95"/>
    <x v="0"/>
    <s v="No"/>
    <s v="No duplicate candidate"/>
  </r>
  <r>
    <s v="ce62273d-0213-4c01-ab97-0a92567a1945"/>
    <s v="LED100889"/>
    <d v="2024-05-10T00:00:00"/>
    <d v="2024-05-14T00:00:00"/>
    <n v="20"/>
    <n v="10"/>
    <n v="-10"/>
    <n v="4"/>
    <s v="UPI/BHARATPE"/>
    <s v="UPI PAYMENT/BHARATPE"/>
    <x v="4"/>
    <s v="Description similarity 100% but amount differs by ₹10.00"/>
    <n v="80"/>
    <x v="1"/>
    <s v="No"/>
    <s v="No duplicate candidate"/>
  </r>
  <r>
    <s v="2f0ed765-4807-4bc9-ba7f-621994f2115b"/>
    <s v="LED100870"/>
    <d v="2024-05-10T00:00:00"/>
    <d v="2024-05-10T00:00:00"/>
    <n v="2000"/>
    <n v="2000"/>
    <n v="0"/>
    <n v="0"/>
    <s v="UPI/4497"/>
    <s v="UPI PAYMENT/4497"/>
    <x v="0"/>
    <s v="Exact amount + date + transaction type"/>
    <n v="95"/>
    <x v="0"/>
    <s v="No"/>
    <s v="No duplicate candidate"/>
  </r>
  <r>
    <s v="c0b480d3-9bd1-4d7b-a3e7-46675b6adb3c"/>
    <s v="LED100876"/>
    <d v="2024-05-10T00:00:00"/>
    <d v="2024-05-11T00:00:00"/>
    <n v="80"/>
    <n v="80"/>
    <n v="0"/>
    <n v="1"/>
    <s v="UPI/PAYTMap"/>
    <s v="UPI PAYMENT/PAYTMAP"/>
    <x v="3"/>
    <s v="Amount + type match, date difference 1 day(s), description similarity 100%"/>
    <n v="80"/>
    <x v="1"/>
    <s v="No"/>
    <s v="No duplicate candidate"/>
  </r>
  <r>
    <s v="45b50201-8fd6-434b-9d50-574d7ca588aa"/>
    <s v="LED100872"/>
    <d v="2024-05-10T00:00:00"/>
    <d v="2024-05-10T00:00:00"/>
    <n v="130"/>
    <n v="130"/>
    <n v="0"/>
    <n v="0"/>
    <s v="UPI/GPAY"/>
    <s v="UPI PAYMENT/GPAY"/>
    <x v="0"/>
    <s v="Exact amount + date + transaction type"/>
    <n v="95"/>
    <x v="0"/>
    <s v="No"/>
    <s v="No duplicate candidate"/>
  </r>
  <r>
    <s v="d179e30f-bd27-4ed2-a1c5-0ba7be5259a4"/>
    <s v="LED100873"/>
    <d v="2024-05-11T00:00:00"/>
    <d v="2024-05-11T00:00:00"/>
    <n v="570"/>
    <n v="570"/>
    <n v="0"/>
    <n v="0"/>
    <s v="NEFT"/>
    <s v="NEFT PAYMENT"/>
    <x v="0"/>
    <s v="Exact reference + amount + date + type"/>
    <n v="100"/>
    <x v="0"/>
    <s v="No"/>
    <s v="No duplicate candidate"/>
  </r>
  <r>
    <s v="30bb69bd-f41c-403e-8b9a-b979b7677247"/>
    <s v="LED100874"/>
    <d v="2024-05-11T00:00:00"/>
    <d v="2024-05-11T00:00:00"/>
    <n v="10"/>
    <n v="10"/>
    <n v="0"/>
    <n v="0"/>
    <s v="UPI/4498"/>
    <s v="UPI PAYMENT/4498"/>
    <x v="0"/>
    <s v="Exact amount + date + transaction type"/>
    <n v="95"/>
    <x v="0"/>
    <s v="No"/>
    <s v="No duplicate candidate"/>
  </r>
  <r>
    <s v="3963a4d4-ba7d-481e-969b-9a44ae20a864"/>
    <s v="LED100875"/>
    <d v="2024-05-11T00:00:00"/>
    <d v="2024-05-11T00:00:00"/>
    <n v="130"/>
    <n v="130"/>
    <n v="0"/>
    <n v="0"/>
    <s v="UPI/GPAY"/>
    <s v="UPI PAYMENT/GPAY"/>
    <x v="0"/>
    <s v="Exact amount + date + transaction type"/>
    <n v="95"/>
    <x v="0"/>
    <s v="No"/>
    <s v="No duplicate candidate"/>
  </r>
  <r>
    <s v="cbefc487-a0fd-41da-a201-25bd1e7a413f"/>
    <s v="LED100958"/>
    <d v="2024-05-11T00:00:00"/>
    <d v="2024-05-25T00:00:00"/>
    <n v="80"/>
    <n v="80"/>
    <n v="0"/>
    <n v="14"/>
    <s v="UPI/PAYTMap"/>
    <s v="UPI PAYMENT/PAYTMAP"/>
    <x v="1"/>
    <s v="Same amount + high description similarity 100% but date differs by 14 days"/>
    <n v="60"/>
    <x v="2"/>
    <s v="No"/>
    <s v="No duplicate candidate"/>
  </r>
  <r>
    <s v="430f553a-f354-4228-9c05-eb2d7ae79d96"/>
    <s v="LED100877"/>
    <d v="2024-05-11T00:00:00"/>
    <d v="2024-05-11T00:00:00"/>
    <n v="1000"/>
    <n v="1000"/>
    <n v="0"/>
    <n v="0"/>
    <s v="UPI/44987"/>
    <s v="UPI PAYMENT/44987"/>
    <x v="0"/>
    <s v="Exact amount + date + transaction type"/>
    <n v="95"/>
    <x v="0"/>
    <s v="No"/>
    <s v="No duplicate candidate"/>
  </r>
  <r>
    <s v="1abd45bf-1688-44de-a4d5-959f48b5155e"/>
    <s v="LED100878"/>
    <d v="2024-05-11T00:00:00"/>
    <d v="2024-05-11T00:00:00"/>
    <n v="241"/>
    <n v="240.9"/>
    <n v="0"/>
    <n v="0"/>
    <s v="UPI/GPAYRECHARGE"/>
    <s v="UPI PAYMENT/GPAYRECHARGE"/>
    <x v="0"/>
    <s v="Exact amount + date + transaction type"/>
    <n v="95"/>
    <x v="0"/>
    <s v="No"/>
    <s v="No duplicate candidate"/>
  </r>
  <r>
    <s v="23fb0efc-e983-48df-a46d-1062a787f8e4"/>
    <s v="LED100931"/>
    <d v="2024-05-12T00:00:00"/>
    <d v="2024-05-22T00:00:00"/>
    <n v="1750"/>
    <n v="2050"/>
    <n v="300"/>
    <n v="10"/>
    <s v="NEFT"/>
    <s v="NEFT PAYMENT"/>
    <x v="4"/>
    <s v="Description similarity 100% but amount differs by ₹300.00"/>
    <n v="80"/>
    <x v="1"/>
    <s v="No"/>
    <s v="No duplicate candidate"/>
  </r>
  <r>
    <s v="ef15596a-7bdf-4188-8515-96ad1f22c2c4"/>
    <s v="LED100880"/>
    <d v="2024-05-12T00:00:00"/>
    <d v="2024-05-12T00:00:00"/>
    <n v="10"/>
    <n v="10"/>
    <n v="0"/>
    <n v="0"/>
    <s v="UPI/4499"/>
    <s v="UPI PAYMENT/4499"/>
    <x v="0"/>
    <s v="Exact amount + date + transaction type"/>
    <n v="95"/>
    <x v="0"/>
    <s v="No"/>
    <s v="No duplicate candidate"/>
  </r>
  <r>
    <s v="d03a38bf-6960-4ba2-9c36-5bbaf088a36d"/>
    <s v="LED100881"/>
    <d v="2024-05-12T00:00:00"/>
    <d v="2024-05-12T00:00:00"/>
    <n v="70"/>
    <n v="70"/>
    <n v="0"/>
    <n v="0"/>
    <s v="UPI/41331"/>
    <s v="UPI PAYMENT/41331"/>
    <x v="0"/>
    <s v="Exact amount + date + transaction type"/>
    <n v="95"/>
    <x v="0"/>
    <s v="No"/>
    <s v="No duplicate candidate"/>
  </r>
  <r>
    <s v="4cd145a0-d0eb-4731-bb29-266c20c33205"/>
    <s v="LED100882"/>
    <d v="2024-05-12T00:00:00"/>
    <d v="2024-05-12T00:00:00"/>
    <n v="200"/>
    <n v="200"/>
    <n v="0"/>
    <n v="0"/>
    <s v="UPI/41"/>
    <s v="UPI PAYMENT/41"/>
    <x v="0"/>
    <s v="Exact amount + date + transaction type"/>
    <n v="95"/>
    <x v="0"/>
    <s v="No"/>
    <s v="No duplicate candidate"/>
  </r>
  <r>
    <s v="ae6f3208-d206-4215-8052-0f979e326278"/>
    <s v="LED100883"/>
    <d v="2024-05-12T00:00:00"/>
    <d v="2024-05-12T00:00:00"/>
    <n v="205"/>
    <n v="205"/>
    <n v="0"/>
    <n v="0"/>
    <s v="UPI/BHARATPE"/>
    <s v="UPI PAYMENT/BHARATPE"/>
    <x v="0"/>
    <s v="Exact amount + date + transaction type"/>
    <n v="95"/>
    <x v="0"/>
    <s v="No"/>
    <s v="No duplicate candidate"/>
  </r>
  <r>
    <s v="9cf29963-4d2b-4c9c-99e6-134b394dadd8"/>
    <s v="LED100884"/>
    <d v="2024-05-13T00:00:00"/>
    <d v="2024-05-13T00:00:00"/>
    <n v="20"/>
    <n v="20"/>
    <n v="0"/>
    <n v="0"/>
    <s v="UPI/4500"/>
    <s v="UPI PAYMENT/4500"/>
    <x v="0"/>
    <s v="Exact amount + date + transaction type"/>
    <n v="95"/>
    <x v="0"/>
    <s v="No"/>
    <s v="No duplicate candidate"/>
  </r>
  <r>
    <s v="7141e406-9738-4db3-8092-123d8dabec38"/>
    <s v="LED100885"/>
    <d v="2024-05-13T00:00:00"/>
    <d v="2024-05-13T00:00:00"/>
    <n v="11530"/>
    <n v="11530"/>
    <n v="0"/>
    <n v="0"/>
    <s v="NEFT"/>
    <s v="NEFT PAYMENT"/>
    <x v="0"/>
    <s v="Exact reference + amount + date + type"/>
    <n v="100"/>
    <x v="0"/>
    <s v="No"/>
    <s v="No duplicate candidate"/>
  </r>
  <r>
    <s v="50ba70db-724a-443e-bc6c-d61587d9763d"/>
    <s v="LED100886"/>
    <d v="2024-05-13T00:00:00"/>
    <d v="2024-05-13T00:00:00"/>
    <n v="40"/>
    <n v="40"/>
    <n v="0"/>
    <n v="0"/>
    <s v="UPI/45003"/>
    <s v="UPI PAYMENT/45003"/>
    <x v="1"/>
    <s v="Amount + type match with description similarity 100%"/>
    <n v="85"/>
    <x v="1"/>
    <s v="No"/>
    <s v="No duplicate candidate"/>
  </r>
  <r>
    <s v="dffc4904-9780-4817-b679-f7d95da78607"/>
    <s v="LED100887"/>
    <d v="2024-05-13T00:00:00"/>
    <d v="2024-05-13T00:00:00"/>
    <n v="30"/>
    <n v="30"/>
    <n v="0"/>
    <n v="0"/>
    <s v="UPI/4500"/>
    <s v="UPI PAYMENT/4500"/>
    <x v="0"/>
    <s v="Exact amount + date + transaction type"/>
    <n v="95"/>
    <x v="0"/>
    <s v="No"/>
    <s v="No duplicate candidate"/>
  </r>
  <r>
    <s v="ecf802b6-d1d7-43de-b9e0-f41a43a67ce0"/>
    <s v="LED100888"/>
    <d v="2024-05-13T00:00:00"/>
    <d v="2024-05-13T00:00:00"/>
    <n v="40"/>
    <n v="40"/>
    <n v="0"/>
    <n v="0"/>
    <s v="UPI/4500"/>
    <s v="UPI PAYMENT/4500"/>
    <x v="0"/>
    <s v="Exact amount + date + transaction type"/>
    <n v="95"/>
    <x v="0"/>
    <s v="No"/>
    <s v="No duplicate candidate"/>
  </r>
  <r>
    <s v="c63622f7-6dc7-4c0d-9da1-026ff7e8f83f"/>
    <s v="LED100891"/>
    <d v="2024-05-14T00:00:00"/>
    <d v="2024-05-14T00:00:00"/>
    <n v="10"/>
    <n v="40"/>
    <n v="30"/>
    <n v="0"/>
    <s v="UPI/BHARATPE"/>
    <s v="UPI PAYMENT/BHARATPE"/>
    <x v="4"/>
    <s v="Description similarity 100% but amount differs by ₹30.00"/>
    <n v="80"/>
    <x v="1"/>
    <s v="No"/>
    <s v="No duplicate candidate"/>
  </r>
  <r>
    <s v="8fb6e718-26d2-4cea-a1d9-aa8fb11ffa83"/>
    <s v="LED100890"/>
    <d v="2024-05-14T00:00:00"/>
    <d v="2024-05-15T00:00:00"/>
    <n v="10000"/>
    <n v="10000"/>
    <n v="0"/>
    <n v="1"/>
    <s v="UPI/41350"/>
    <s v="UPI PAYMENT/41350"/>
    <x v="3"/>
    <s v="Amount + type match, date difference 1 day(s), description similarity 100%"/>
    <n v="80"/>
    <x v="1"/>
    <s v="No"/>
    <s v="No duplicate candidate"/>
  </r>
  <r>
    <s v="f368130f-61d1-44b0-940c-aad28b39bea2"/>
    <s v="LED100991"/>
    <d v="2024-05-14T00:00:00"/>
    <d v="2023-09-08T00:00:00"/>
    <n v="40"/>
    <n v="220"/>
    <n v="180"/>
    <n v="-249"/>
    <s v="UPI/BHARATPE"/>
    <s v="UPI PAYMENT/BHARATPE"/>
    <x v="4"/>
    <s v="Description similarity 100% but amount differs by ₹180.00"/>
    <n v="80"/>
    <x v="1"/>
    <s v="Yes"/>
    <s v="Duplicate candidate detected"/>
  </r>
  <r>
    <s v="32499502-516f-44ba-ace3-9d7f4851515c"/>
    <s v="LED100892"/>
    <d v="2024-05-14T00:00:00"/>
    <d v="2024-05-14T00:00:00"/>
    <n v="600"/>
    <n v="600"/>
    <n v="0"/>
    <n v="0"/>
    <s v="UPI/41"/>
    <s v="UPI PAYMENT/41"/>
    <x v="0"/>
    <s v="Exact amount + date + transaction type"/>
    <n v="95"/>
    <x v="0"/>
    <s v="No"/>
    <s v="No duplicate candidate"/>
  </r>
  <r>
    <s v="374bdc9e-c30b-4d08-8aaf-baa7f00edc68"/>
    <s v=""/>
    <d v="2024-05-14T00:00:00"/>
    <m/>
    <n v="500"/>
    <m/>
    <m/>
    <m/>
    <s v="UPI/BHARATPE"/>
    <s v=""/>
    <x v="2"/>
    <s v="No suitable ledger transaction found"/>
    <n v="0"/>
    <x v="2"/>
    <s v="No"/>
    <s v="No duplicate candidate"/>
  </r>
  <r>
    <s v="82a23b7d-b949-430b-9925-ac41f1d9ab9e"/>
    <s v="LED100894"/>
    <d v="2024-05-14T00:00:00"/>
    <d v="2024-05-14T00:00:00"/>
    <n v="150"/>
    <n v="150"/>
    <n v="0"/>
    <n v="0"/>
    <s v="UPI/PAYTM"/>
    <s v="UPI PAYMENT/PAYTM"/>
    <x v="0"/>
    <s v="Exact amount + date + transaction type"/>
    <n v="95"/>
    <x v="0"/>
    <s v="No"/>
    <s v="No duplicate candidate"/>
  </r>
  <r>
    <s v="97f77a7d-37d0-4e8f-8d96-c2603541c6ab"/>
    <s v="LED100895"/>
    <d v="2024-05-15T00:00:00"/>
    <d v="2024-05-15T00:00:00"/>
    <n v="650"/>
    <n v="650"/>
    <n v="0"/>
    <n v="0"/>
    <s v="NEFT"/>
    <s v="NEFT PAYMENT"/>
    <x v="0"/>
    <s v="Exact reference + amount + date + type"/>
    <n v="100"/>
    <x v="0"/>
    <s v="No"/>
    <s v="No duplicate candidate"/>
  </r>
  <r>
    <s v="4b213377-c845-4d68-b4a3-47adfd333d67"/>
    <s v="LED100896"/>
    <d v="2024-05-15T00:00:00"/>
    <d v="2024-05-15T00:00:00"/>
    <n v="15"/>
    <n v="15"/>
    <n v="0"/>
    <n v="0"/>
    <s v="UPI/45025/JIOINAPPDIRECT"/>
    <s v="UPI PAYMENT/45025/JIOINAPPDIRECT"/>
    <x v="1"/>
    <s v="Amount + type match with description similarity 100%"/>
    <n v="85"/>
    <x v="1"/>
    <s v="No"/>
    <s v="No duplicate candidate"/>
  </r>
  <r>
    <s v="21459fcb-7f53-4a2b-98e6-b92e38ac3562"/>
    <s v="LED100897"/>
    <d v="2024-05-15T00:00:00"/>
    <d v="2024-05-15T00:00:00"/>
    <n v="130"/>
    <n v="130"/>
    <n v="0"/>
    <n v="0"/>
    <s v="UPI/GPAY"/>
    <s v="UPI PAYMENT/GPAY"/>
    <x v="0"/>
    <s v="Exact amount + date + transaction type"/>
    <n v="95"/>
    <x v="0"/>
    <s v="No"/>
    <s v="No duplicate candidate"/>
  </r>
  <r>
    <s v="a27bd0c5-66c9-41e7-8350-0d74d43a464f"/>
    <s v="LED100898"/>
    <d v="2024-05-15T00:00:00"/>
    <d v="2024-05-15T00:00:00"/>
    <n v="100"/>
    <n v="100"/>
    <n v="0"/>
    <n v="0"/>
    <s v="UPI/4502"/>
    <s v="UPI PAYMENT/4502"/>
    <x v="0"/>
    <s v="Exact amount + date + transaction type"/>
    <n v="95"/>
    <x v="0"/>
    <s v="No"/>
    <s v="No duplicate candidate"/>
  </r>
  <r>
    <s v="7fad5e57-1b2d-440e-a3ff-43aab42e4688"/>
    <s v="LED100899"/>
    <d v="2024-05-15T00:00:00"/>
    <d v="2024-05-15T00:00:00"/>
    <n v="500"/>
    <n v="500"/>
    <n v="0"/>
    <n v="0"/>
    <s v="UPI/4502"/>
    <s v="UPI PAYMENT/4502"/>
    <x v="0"/>
    <s v="Exact amount + date + transaction type"/>
    <n v="95"/>
    <x v="0"/>
    <s v="No"/>
    <s v="No duplicate candidate"/>
  </r>
  <r>
    <s v="5a48353c-1b4b-4378-baf4-a75f9ed2e03a"/>
    <s v="LED100900"/>
    <d v="2024-05-15T00:00:00"/>
    <d v="2024-05-15T00:00:00"/>
    <n v="15"/>
    <n v="15"/>
    <n v="0"/>
    <n v="0"/>
    <s v="UPI/45028/JIOINAPPDIRECT"/>
    <s v="UPI PAYMENT/45028/JIOINAPPDIRECT"/>
    <x v="0"/>
    <s v="Exact amount + date + transaction type"/>
    <n v="95"/>
    <x v="0"/>
    <s v="No"/>
    <s v="No duplicate candidate"/>
  </r>
  <r>
    <s v="8e88e324-d8bb-4920-b8f2-c98a49e51f84"/>
    <s v="LED100901"/>
    <d v="2024-05-15T00:00:00"/>
    <d v="2024-05-15T00:00:00"/>
    <n v="10"/>
    <n v="10"/>
    <n v="0"/>
    <n v="0"/>
    <s v="UPI/4502"/>
    <s v="UPI PAYMENT/4502"/>
    <x v="0"/>
    <s v="Exact amount + date + transaction type"/>
    <n v="95"/>
    <x v="0"/>
    <s v="No"/>
    <s v="No duplicate candidate"/>
  </r>
  <r>
    <s v="6b33e460-d49f-465e-833d-b6c8843c3e21"/>
    <s v="LED100902"/>
    <d v="2024-05-16T00:00:00"/>
    <d v="2024-05-16T00:00:00"/>
    <n v="130"/>
    <n v="130"/>
    <n v="0"/>
    <n v="0"/>
    <s v="NEFT"/>
    <s v="NEFT PAYMENT"/>
    <x v="0"/>
    <s v="Exact reference + amount + date + type"/>
    <n v="100"/>
    <x v="0"/>
    <s v="No"/>
    <s v="No duplicate candidate"/>
  </r>
  <r>
    <s v="ac706267-eb14-4772-89e5-a4a30cba2740"/>
    <s v="LED100903"/>
    <d v="2024-05-16T00:00:00"/>
    <d v="2024-05-16T00:00:00"/>
    <n v="30"/>
    <n v="30"/>
    <n v="0"/>
    <n v="0"/>
    <s v="UPI/GPAY"/>
    <s v="UPI PAYMENT/GPAY"/>
    <x v="0"/>
    <s v="Exact amount + date + transaction type"/>
    <n v="95"/>
    <x v="0"/>
    <s v="No"/>
    <s v="No duplicate candidate"/>
  </r>
  <r>
    <s v="51f628f6-d430-41bf-b227-72fc7a89ae8b"/>
    <s v="LED100904"/>
    <d v="2024-05-16T00:00:00"/>
    <d v="2024-05-16T00:00:00"/>
    <n v="130"/>
    <n v="130"/>
    <n v="0"/>
    <n v="0"/>
    <s v="UPI/GPAY"/>
    <s v="UPI PAYMENT/GPAY"/>
    <x v="1"/>
    <s v="Amount + type match with description similarity 100%"/>
    <n v="85"/>
    <x v="1"/>
    <s v="Yes"/>
    <s v="Duplicate candidate detected"/>
  </r>
  <r>
    <s v="5957e0d0-1550-4a27-9f50-4e276d34f00e"/>
    <s v="LED100905"/>
    <d v="2024-05-16T00:00:00"/>
    <d v="2024-05-16T00:00:00"/>
    <n v="400"/>
    <n v="392"/>
    <n v="-8"/>
    <n v="0"/>
    <s v="UPI/41"/>
    <s v="UPI PAYMENT/41"/>
    <x v="4"/>
    <s v="Description similarity 100% but amount differs by ₹8.00"/>
    <n v="80"/>
    <x v="1"/>
    <s v="No"/>
    <s v="No duplicate candidate"/>
  </r>
  <r>
    <s v="a240c84e-8916-4307-95f5-a722ad0287d6"/>
    <s v="LED100906"/>
    <d v="2024-05-16T00:00:00"/>
    <d v="2024-05-16T00:00:00"/>
    <n v="1000"/>
    <n v="1000"/>
    <n v="0"/>
    <n v="0"/>
    <s v="UPI/41374"/>
    <s v="UPI PAYMENT/41374"/>
    <x v="0"/>
    <s v="Exact amount + date + transaction type"/>
    <n v="95"/>
    <x v="0"/>
    <s v="No"/>
    <s v="No duplicate candidate"/>
  </r>
  <r>
    <s v="544ae2ba-f779-4c9e-a192-faeff9f795fd"/>
    <s v="LED100907"/>
    <d v="2024-05-16T00:00:00"/>
    <d v="2024-05-16T00:00:00"/>
    <n v="130"/>
    <n v="130"/>
    <n v="0"/>
    <n v="0"/>
    <s v="UPI/GPAY"/>
    <s v="UPI PAYMENT/GPAY"/>
    <x v="0"/>
    <s v="Exact amount + date + transaction type"/>
    <n v="95"/>
    <x v="0"/>
    <s v="Yes"/>
    <s v="Duplicate candidate detected"/>
  </r>
  <r>
    <s v="9436c34b-0490-4466-a238-6e945334cb4b"/>
    <s v="LED100908"/>
    <d v="2024-05-16T00:00:00"/>
    <d v="2024-05-16T00:00:00"/>
    <n v="500"/>
    <n v="500"/>
    <n v="0"/>
    <n v="0"/>
    <s v="UPI/4503"/>
    <s v="UPI PAYMENT/4503"/>
    <x v="0"/>
    <s v="Exact amount + date + transaction type"/>
    <n v="95"/>
    <x v="0"/>
    <s v="No"/>
    <s v="No duplicate candidate"/>
  </r>
  <r>
    <s v="b0b21466-ac5c-452c-899c-7f3d1971295d"/>
    <s v="LED100909"/>
    <d v="2024-05-17T00:00:00"/>
    <d v="2024-05-17T00:00:00"/>
    <n v="650"/>
    <n v="650"/>
    <n v="0"/>
    <n v="0"/>
    <s v="NEFT"/>
    <s v="NEFT PAYMENT"/>
    <x v="0"/>
    <s v="Exact reference + amount + date + type"/>
    <n v="100"/>
    <x v="0"/>
    <s v="No"/>
    <s v="No duplicate candidate"/>
  </r>
  <r>
    <s v="c5913173-57bc-4340-88b2-f9c330e26eaf"/>
    <s v="LED100910"/>
    <d v="2024-05-17T00:00:00"/>
    <d v="2024-05-17T00:00:00"/>
    <n v="110"/>
    <n v="110"/>
    <n v="0"/>
    <n v="0"/>
    <s v="UPI/4504"/>
    <s v="UPI PAYMENT/4504"/>
    <x v="0"/>
    <s v="Exact amount + date + transaction type"/>
    <n v="95"/>
    <x v="0"/>
    <s v="No"/>
    <s v="No duplicate candidate"/>
  </r>
  <r>
    <s v="891568f3-3d71-48e1-a416-5854239541a4"/>
    <s v="LED100911"/>
    <d v="2024-05-17T00:00:00"/>
    <d v="2024-05-17T00:00:00"/>
    <n v="95"/>
    <n v="95"/>
    <n v="0"/>
    <n v="0"/>
    <s v="UPI/4504"/>
    <s v="UPI PAYMENT/4504"/>
    <x v="0"/>
    <s v="Exact amount + date + transaction type"/>
    <n v="95"/>
    <x v="0"/>
    <s v="No"/>
    <s v="No duplicate candidate"/>
  </r>
  <r>
    <s v="327b7200-ee13-4179-b6d0-41bc618589f8"/>
    <s v="LED100912"/>
    <d v="2024-05-17T00:00:00"/>
    <d v="2024-05-17T00:00:00"/>
    <n v="1300"/>
    <n v="1300"/>
    <n v="0"/>
    <n v="0"/>
    <s v="UPI/41382"/>
    <s v="UPI PAYMENT/41382"/>
    <x v="0"/>
    <s v="Exact amount + date + transaction type"/>
    <n v="95"/>
    <x v="0"/>
    <s v="No"/>
    <s v="No duplicate candidate"/>
  </r>
  <r>
    <s v="4cf0a4da-ff24-4659-a5c0-3827552759ee"/>
    <s v="LED100913"/>
    <d v="2024-05-18T00:00:00"/>
    <d v="2024-05-18T00:00:00"/>
    <n v="260"/>
    <n v="260"/>
    <n v="0"/>
    <n v="0"/>
    <s v="UPI/GPAY"/>
    <s v="UPI PAYMENT/GPAY"/>
    <x v="0"/>
    <s v="Exact amount + date + transaction type"/>
    <n v="95"/>
    <x v="0"/>
    <s v="No"/>
    <s v="No duplicate candidate"/>
  </r>
  <r>
    <s v="c93cffda-0d4a-4228-bd3b-6dd8be20afe8"/>
    <s v="LED100914"/>
    <d v="2024-05-18T00:00:00"/>
    <d v="2024-05-18T00:00:00"/>
    <n v="15"/>
    <n v="15"/>
    <n v="0"/>
    <n v="0"/>
    <s v="UPI/45051/JIOINAPPDIRECT"/>
    <s v="UPI PAYMENT/45051/JIOINAPPDIRECT"/>
    <x v="0"/>
    <s v="Exact amount + date + transaction type"/>
    <n v="95"/>
    <x v="0"/>
    <s v="No"/>
    <s v="No duplicate candidate"/>
  </r>
  <r>
    <s v="7907ca94-6546-4a7f-b8ff-0beb996e787b"/>
    <s v="LED100915"/>
    <d v="2024-05-18T00:00:00"/>
    <d v="2024-05-18T00:00:00"/>
    <n v="50"/>
    <n v="50"/>
    <n v="0"/>
    <n v="0"/>
    <s v="UPI/PAYTMap"/>
    <s v="UPI PAYMENT/PAYTMAP"/>
    <x v="1"/>
    <s v="Amount + type match with description similarity 100%"/>
    <n v="85"/>
    <x v="1"/>
    <s v="No"/>
    <s v="No duplicate candidate"/>
  </r>
  <r>
    <s v="50261313-f646-465d-9bfa-09983019e719"/>
    <s v="LED100916"/>
    <d v="2024-05-18T00:00:00"/>
    <d v="2024-05-18T00:00:00"/>
    <n v="50"/>
    <n v="50"/>
    <n v="0"/>
    <n v="0"/>
    <s v="UPI/41394/LOAD/LITE"/>
    <s v="UPI PAYMENT/41394/LOAD/LITE"/>
    <x v="0"/>
    <s v="Exact amount + date + transaction type"/>
    <n v="95"/>
    <x v="0"/>
    <s v="No"/>
    <s v="No duplicate candidate"/>
  </r>
  <r>
    <s v="b7963334-f585-4191-b319-eba6a2a2456e"/>
    <s v="LED100917"/>
    <d v="2024-05-19T00:00:00"/>
    <d v="2024-05-19T00:00:00"/>
    <n v="60"/>
    <n v="60"/>
    <n v="0"/>
    <n v="0"/>
    <s v="UPI/4506"/>
    <s v="UPI PAYMENT/4506"/>
    <x v="0"/>
    <s v="Exact amount + date + transaction type"/>
    <n v="95"/>
    <x v="0"/>
    <s v="No"/>
    <s v="No duplicate candidate"/>
  </r>
  <r>
    <s v="d2aa0378-2ce2-4e10-933c-e13c2f583cf2"/>
    <s v="LED100918"/>
    <d v="2024-05-19T00:00:00"/>
    <d v="2024-05-19T00:00:00"/>
    <n v="100"/>
    <n v="100"/>
    <n v="0"/>
    <n v="0"/>
    <s v="UPI/4506"/>
    <s v="UPI PAYMENT/4506"/>
    <x v="0"/>
    <s v="Exact amount + date + transaction type"/>
    <n v="95"/>
    <x v="0"/>
    <s v="No"/>
    <s v="No duplicate candidate"/>
  </r>
  <r>
    <s v="2869a12e-d89f-40ec-bd80-10d9b45a6e53"/>
    <s v="LED100919"/>
    <d v="2024-05-19T00:00:00"/>
    <d v="2024-05-19T00:00:00"/>
    <n v="20"/>
    <n v="20"/>
    <n v="0"/>
    <n v="0"/>
    <s v="UPI/PAYTMap"/>
    <s v="UPI PAYMENT/PAYTMAP"/>
    <x v="0"/>
    <s v="Exact amount + date + transaction type"/>
    <n v="95"/>
    <x v="0"/>
    <s v="No"/>
    <s v="No duplicate candidate"/>
  </r>
  <r>
    <s v="f0dbfbd2-2203-4f8f-a872-fa89b7d761d1"/>
    <s v="LED100920"/>
    <d v="2024-05-19T00:00:00"/>
    <d v="2024-05-19T00:00:00"/>
    <n v="130"/>
    <n v="130"/>
    <n v="0"/>
    <n v="0"/>
    <s v="UPI/GPAY"/>
    <s v="UPI PAYMENT/GPAY"/>
    <x v="0"/>
    <s v="Exact amount + date + transaction type"/>
    <n v="95"/>
    <x v="0"/>
    <s v="No"/>
    <s v="No duplicate candidate"/>
  </r>
  <r>
    <s v="3aea12bb-ef0e-4bbe-8eaa-cbfddf5dbfb8"/>
    <s v="LED100921"/>
    <d v="2024-05-19T00:00:00"/>
    <d v="2024-05-19T00:00:00"/>
    <n v="50"/>
    <n v="50"/>
    <n v="0"/>
    <n v="0"/>
    <s v="UPI/PAYTMap"/>
    <s v="UPI PAYMENT/PAYTMAP"/>
    <x v="0"/>
    <s v="Exact amount + date + transaction type"/>
    <n v="95"/>
    <x v="0"/>
    <s v="No"/>
    <s v="No duplicate candidate"/>
  </r>
  <r>
    <s v="8b196063-5ca4-443b-b5a2-eafa8e081903"/>
    <s v="LED100922"/>
    <d v="2024-05-19T00:00:00"/>
    <d v="2024-05-19T00:00:00"/>
    <n v="400"/>
    <n v="400"/>
    <n v="0"/>
    <n v="0"/>
    <s v="UPI/41402"/>
    <s v="UPI PAYMENT/41402"/>
    <x v="0"/>
    <s v="Exact amount + date + transaction type"/>
    <n v="95"/>
    <x v="0"/>
    <s v="No"/>
    <s v="No duplicate candidate"/>
  </r>
  <r>
    <s v="ced19446-2522-40a4-8fa2-a87201c91562"/>
    <s v="LED100923"/>
    <d v="2024-05-19T00:00:00"/>
    <d v="2024-05-19T00:00:00"/>
    <n v="15"/>
    <n v="15"/>
    <n v="0"/>
    <n v="0"/>
    <s v="UPI/45065/JIOINAPPDIRECT"/>
    <s v="UPI PAYMENT/45065/JIOINAPPDIRECT"/>
    <x v="0"/>
    <s v="Exact amount + date + transaction type"/>
    <n v="95"/>
    <x v="0"/>
    <s v="No"/>
    <s v="No duplicate candidate"/>
  </r>
  <r>
    <s v="68a1453d-c79c-40ce-b13d-29a59857331c"/>
    <s v="LED100924"/>
    <d v="2024-05-20T00:00:00"/>
    <d v="2024-05-20T00:00:00"/>
    <n v="130"/>
    <n v="130"/>
    <n v="0"/>
    <n v="0"/>
    <s v="UPI/GPAY"/>
    <s v="UPI PAYMENT/GPAY"/>
    <x v="1"/>
    <s v="Amount + type match with description similarity 100%"/>
    <n v="85"/>
    <x v="1"/>
    <s v="Yes"/>
    <s v="Duplicate candidate detected"/>
  </r>
  <r>
    <s v="1dc53379-c75d-49ff-94fd-1b5ccae6cd7f"/>
    <s v="LED100925"/>
    <d v="2024-05-20T00:00:00"/>
    <d v="2024-05-20T00:00:00"/>
    <n v="130"/>
    <n v="130"/>
    <n v="0"/>
    <n v="0"/>
    <s v="UPI/GPAY"/>
    <s v="UPI PAYMENT/GPAY"/>
    <x v="0"/>
    <s v="Exact amount + date + transaction type"/>
    <n v="95"/>
    <x v="0"/>
    <s v="Yes"/>
    <s v="Duplicate candidate detected"/>
  </r>
  <r>
    <s v="729dabc3-ec33-4996-bf21-48bde4b3579c"/>
    <s v="LED100926"/>
    <d v="2024-05-21T00:00:00"/>
    <d v="2024-05-21T00:00:00"/>
    <n v="1070"/>
    <n v="1070"/>
    <n v="0"/>
    <n v="0"/>
    <s v="NEFT"/>
    <s v="NEFT PAYMENT"/>
    <x v="0"/>
    <s v="Exact reference + amount + date + type"/>
    <n v="100"/>
    <x v="0"/>
    <s v="No"/>
    <s v="No duplicate candidate"/>
  </r>
  <r>
    <s v="9f4bc29e-a3f6-4fc1-84c2-8f46afba045c"/>
    <s v="LED100927"/>
    <d v="2024-05-21T00:00:00"/>
    <d v="2024-05-21T00:00:00"/>
    <n v="55"/>
    <n v="55"/>
    <n v="0"/>
    <n v="0"/>
    <s v="UPI/4508"/>
    <s v="UPI PAYMENT/4508"/>
    <x v="0"/>
    <s v="Exact amount + date + transaction type"/>
    <n v="95"/>
    <x v="0"/>
    <s v="No"/>
    <s v="No duplicate candidate"/>
  </r>
  <r>
    <s v="64ccdc6c-1f54-40ad-830c-238eb2b287b3"/>
    <s v="LED100928"/>
    <d v="2024-05-21T00:00:00"/>
    <d v="2024-05-21T00:00:00"/>
    <n v="130"/>
    <n v="130"/>
    <n v="0"/>
    <n v="0"/>
    <s v="UPI/GPAY"/>
    <s v="UPI PAYMENT/GPAY"/>
    <x v="1"/>
    <s v="Amount + type match with description similarity 100%"/>
    <n v="85"/>
    <x v="1"/>
    <s v="Yes"/>
    <s v="Duplicate candidate detected"/>
  </r>
  <r>
    <s v="be7a3c9f-d51d-47d3-bb11-ba07b4b26b9c"/>
    <s v="LED100929"/>
    <d v="2024-05-21T00:00:00"/>
    <d v="2024-05-21T00:00:00"/>
    <n v="400"/>
    <n v="400"/>
    <n v="0"/>
    <n v="0"/>
    <s v="UPI/41420"/>
    <s v="UPI PAYMENT/41420"/>
    <x v="0"/>
    <s v="Exact amount + date + transaction type"/>
    <n v="95"/>
    <x v="0"/>
    <s v="No"/>
    <s v="No duplicate candidate"/>
  </r>
  <r>
    <s v="a4e3a401-60d7-4b5d-8fb0-7c219062717b"/>
    <s v="LED100930"/>
    <d v="2024-05-21T00:00:00"/>
    <d v="2024-05-21T00:00:00"/>
    <n v="130"/>
    <n v="130"/>
    <n v="0"/>
    <n v="0"/>
    <s v="UPI/GPAY"/>
    <s v="UPI PAYMENT/GPAY"/>
    <x v="0"/>
    <s v="Exact amount + date + transaction type"/>
    <n v="95"/>
    <x v="0"/>
    <s v="Yes"/>
    <s v="Duplicate candidate detected"/>
  </r>
  <r>
    <s v="f339783e-6bb5-4882-b1dc-dea34a4ada59"/>
    <s v="LED100982"/>
    <d v="2024-05-22T00:00:00"/>
    <d v="2024-05-30T00:00:00"/>
    <n v="2050"/>
    <n v="938"/>
    <n v="-1112"/>
    <n v="8"/>
    <s v="NEFT"/>
    <s v="NEFT PAYMENT"/>
    <x v="4"/>
    <s v="Description similarity 100% but amount differs by ₹1112.00"/>
    <n v="80"/>
    <x v="1"/>
    <s v="No"/>
    <s v="No duplicate candidate"/>
  </r>
  <r>
    <s v="a6f63dce-5cb7-4695-a0b1-68b2000bf9dc"/>
    <s v="LED100932"/>
    <d v="2024-05-22T00:00:00"/>
    <d v="2024-05-22T00:00:00"/>
    <n v="19"/>
    <n v="19"/>
    <n v="0"/>
    <n v="0"/>
    <s v="UPI/45095/JIOINAPPDIRECT"/>
    <s v="UPI PAYMENT/45095/JIOINAPPDIRECT"/>
    <x v="0"/>
    <s v="Exact amount + date + transaction type"/>
    <n v="95"/>
    <x v="0"/>
    <s v="No"/>
    <s v="No duplicate candidate"/>
  </r>
  <r>
    <s v="54cd475c-363a-4bd1-8c70-a80687d06754"/>
    <s v="LED100940"/>
    <d v="2024-05-22T00:00:00"/>
    <d v="2024-05-23T00:00:00"/>
    <n v="240"/>
    <n v="260"/>
    <n v="20"/>
    <n v="1"/>
    <s v="UPI/GPAY"/>
    <s v="UPI PAYMENT/GPAY"/>
    <x v="4"/>
    <s v="Description similarity 100% but amount differs by ₹20.00"/>
    <n v="80"/>
    <x v="1"/>
    <s v="Yes"/>
    <s v="Duplicate candidate detected"/>
  </r>
  <r>
    <s v="9670c45a-c512-440d-b884-02c0535ee8bf"/>
    <s v="LED100934"/>
    <d v="2024-05-22T00:00:00"/>
    <d v="2024-05-22T00:00:00"/>
    <n v="20"/>
    <n v="20"/>
    <n v="0"/>
    <n v="0"/>
    <s v="UPI/GPAY"/>
    <s v="UPI PAYMENT/GPAY"/>
    <x v="0"/>
    <s v="Exact amount + date + transaction type"/>
    <n v="95"/>
    <x v="0"/>
    <s v="No"/>
    <s v="No duplicate candidate"/>
  </r>
  <r>
    <s v="d83f984f-6105-4d15-bbb2-c85d206b5e20"/>
    <s v="LED100935"/>
    <d v="2024-05-22T00:00:00"/>
    <d v="2024-05-22T00:00:00"/>
    <n v="10"/>
    <n v="10"/>
    <n v="0"/>
    <n v="0"/>
    <s v="UPI/4509"/>
    <s v="UPI PAYMENT/4509"/>
    <x v="0"/>
    <s v="Exact amount + date + transaction type"/>
    <n v="95"/>
    <x v="0"/>
    <s v="No"/>
    <s v="No duplicate candidate"/>
  </r>
  <r>
    <s v="cf8cd6ae-83c6-4786-82e9-8ac13aa35a5f"/>
    <s v="LED100936"/>
    <d v="2024-05-22T00:00:00"/>
    <d v="2024-05-22T00:00:00"/>
    <n v="3920"/>
    <n v="3920"/>
    <n v="0"/>
    <n v="0"/>
    <s v="UPI/45096"/>
    <s v="UPI PAYMENT/45096"/>
    <x v="0"/>
    <s v="Exact amount + date + transaction type"/>
    <n v="95"/>
    <x v="0"/>
    <s v="No"/>
    <s v="No duplicate candidate"/>
  </r>
  <r>
    <s v="18dd5138-6e8f-4659-8826-9f53b6fe19ee"/>
    <s v="LED100937"/>
    <d v="2024-05-22T00:00:00"/>
    <d v="2024-05-22T00:00:00"/>
    <n v="3920"/>
    <n v="3920"/>
    <n v="0"/>
    <n v="0"/>
    <s v="UPI/45090"/>
    <s v="UPI PAYMENT/45090"/>
    <x v="0"/>
    <s v="Exact amount + date + transaction type"/>
    <n v="95"/>
    <x v="0"/>
    <s v="No"/>
    <s v="No duplicate candidate"/>
  </r>
  <r>
    <s v="5f691ada-c06c-420e-b75a-f03190a0b58b"/>
    <s v="LED100938"/>
    <d v="2024-05-22T00:00:00"/>
    <d v="2024-05-22T00:00:00"/>
    <n v="130"/>
    <n v="130"/>
    <n v="0"/>
    <n v="0"/>
    <s v="UPI/GPAY"/>
    <s v="UPI PAYMENT/GPAY"/>
    <x v="0"/>
    <s v="Exact amount + date + transaction type"/>
    <n v="95"/>
    <x v="0"/>
    <s v="No"/>
    <s v="No duplicate candidate"/>
  </r>
  <r>
    <s v="c6594f09-c02f-4cee-9ef9-5f7b1a4e012b"/>
    <s v="LED100939"/>
    <d v="2024-05-23T00:00:00"/>
    <d v="2024-05-23T00:00:00"/>
    <n v="650"/>
    <n v="650"/>
    <n v="0"/>
    <n v="0"/>
    <s v="NEFT"/>
    <s v="NEFT PAYMENT"/>
    <x v="0"/>
    <s v="Exact reference + amount + date + type"/>
    <n v="100"/>
    <x v="0"/>
    <s v="No"/>
    <s v="No duplicate candidate"/>
  </r>
  <r>
    <s v="2e634379-f3e6-415f-b0bc-b118bcef5a99"/>
    <s v="LED100941"/>
    <d v="2024-05-23T00:00:00"/>
    <d v="2024-05-23T00:00:00"/>
    <n v="260"/>
    <n v="260"/>
    <n v="0"/>
    <n v="0"/>
    <s v="UPI/GPAY"/>
    <s v="UPI PAYMENT/GPAY"/>
    <x v="1"/>
    <s v="Amount + type match with description similarity 100%"/>
    <n v="85"/>
    <x v="1"/>
    <s v="Yes"/>
    <s v="Duplicate candidate detected"/>
  </r>
  <r>
    <s v="afee02c8-95f7-407a-ac0b-1102446d5fcd"/>
    <s v="LED100943"/>
    <d v="2024-05-23T00:00:00"/>
    <d v="2024-05-23T00:00:00"/>
    <n v="260"/>
    <n v="260"/>
    <n v="0"/>
    <n v="0"/>
    <s v="UPI/GPAY"/>
    <s v="UPI PAYMENT/GPAY"/>
    <x v="1"/>
    <s v="Amount + type match with description similarity 100%"/>
    <n v="85"/>
    <x v="1"/>
    <s v="Yes"/>
    <s v="Duplicate candidate detected"/>
  </r>
  <r>
    <s v="2226ae5f-116e-4b55-91d4-c7e76f4f80e4"/>
    <s v="LED100942"/>
    <d v="2024-05-23T00:00:00"/>
    <d v="2024-05-23T00:00:00"/>
    <n v="15"/>
    <n v="15"/>
    <n v="0"/>
    <n v="0"/>
    <s v="UPI/PAYTM5p"/>
    <s v="UPI PAYMENT/PAYTM5P"/>
    <x v="0"/>
    <s v="Exact amount + date + transaction type"/>
    <n v="95"/>
    <x v="0"/>
    <s v="No"/>
    <s v="No duplicate candidate"/>
  </r>
  <r>
    <s v="1c781ae2-c0d5-4884-b2f7-26609545cedf"/>
    <s v="LED100945"/>
    <d v="2024-05-23T00:00:00"/>
    <d v="2024-05-23T00:00:00"/>
    <n v="260"/>
    <n v="260"/>
    <n v="0"/>
    <n v="0"/>
    <s v="UPI/GPAY"/>
    <s v="UPI PAYMENT/GPAY"/>
    <x v="1"/>
    <s v="Amount + type match with description similarity 100%"/>
    <n v="85"/>
    <x v="1"/>
    <s v="Yes"/>
    <s v="Duplicate candidate detected"/>
  </r>
  <r>
    <s v="a287d40c-92bb-4271-bdfa-142faff50a63"/>
    <s v="LED100944"/>
    <d v="2024-05-23T00:00:00"/>
    <d v="2024-05-23T00:00:00"/>
    <n v="20"/>
    <n v="20"/>
    <n v="0"/>
    <n v="0"/>
    <s v="UPI/4510"/>
    <s v="UPI PAYMENT/4510"/>
    <x v="0"/>
    <s v="Exact amount + date + transaction type"/>
    <n v="95"/>
    <x v="0"/>
    <s v="No"/>
    <s v="No duplicate candidate"/>
  </r>
  <r>
    <s v="e28a05a7-b00f-430e-ba92-18ba473d99b3"/>
    <s v="LED100946"/>
    <d v="2024-05-23T00:00:00"/>
    <d v="2024-05-23T00:00:00"/>
    <n v="260"/>
    <n v="260"/>
    <n v="0"/>
    <n v="0"/>
    <s v="UPI/GPAY"/>
    <s v="UPI PAYMENT/41448"/>
    <x v="0"/>
    <s v="Exact amount + date + transaction type"/>
    <n v="95"/>
    <x v="0"/>
    <s v="Yes"/>
    <s v="Duplicate candidate detected"/>
  </r>
  <r>
    <s v="3b30bf89-e93a-469f-bb1c-245eb2baa81a"/>
    <s v=""/>
    <d v="2024-05-23T00:00:00"/>
    <m/>
    <n v="260"/>
    <m/>
    <m/>
    <m/>
    <s v="UPI/41448"/>
    <s v=""/>
    <x v="2"/>
    <s v="No suitable ledger transaction found"/>
    <n v="0"/>
    <x v="2"/>
    <s v="No"/>
    <s v="No duplicate candidate"/>
  </r>
  <r>
    <s v="ec0ea4f1-7480-4cc8-97b8-fc06082f60fa"/>
    <s v="LED100947"/>
    <d v="2024-05-24T00:00:00"/>
    <d v="2024-05-24T00:00:00"/>
    <n v="130"/>
    <n v="130"/>
    <n v="0"/>
    <n v="0"/>
    <s v="UPI/GPAY"/>
    <s v="UPI PAYMENT/GPAY"/>
    <x v="1"/>
    <s v="Amount + type match with description similarity 100%"/>
    <n v="85"/>
    <x v="1"/>
    <s v="Yes"/>
    <s v="Duplicate candidate detected"/>
  </r>
  <r>
    <s v="11aae491-d422-4bc6-88be-e0981a6555a3"/>
    <s v="LED100948"/>
    <d v="2024-05-24T00:00:00"/>
    <d v="2024-05-23T00:00:00"/>
    <n v="600"/>
    <n v="600"/>
    <n v="0"/>
    <n v="-1"/>
    <s v="UPI/41451"/>
    <s v="UPI PAYMENT/41451"/>
    <x v="3"/>
    <s v="Amount + type match, date difference 1 day(s), description similarity 100%"/>
    <n v="80"/>
    <x v="1"/>
    <s v="No"/>
    <s v="No duplicate candidate"/>
  </r>
  <r>
    <s v="e1da6560-137c-4531-b0d1-4068e7b3ec00"/>
    <s v="LED100949"/>
    <d v="2024-05-24T00:00:00"/>
    <d v="2024-05-24T00:00:00"/>
    <n v="600"/>
    <n v="600"/>
    <n v="0"/>
    <n v="0"/>
    <s v="UPI/41454/REVERSAL"/>
    <s v="UPI PAYMENT/41454/REVERSAL"/>
    <x v="0"/>
    <s v="Exact amount + date + transaction type"/>
    <n v="95"/>
    <x v="0"/>
    <s v="No"/>
    <s v="No duplicate candidate"/>
  </r>
  <r>
    <s v="3e1974e3-ed9f-409b-a7f1-0f0a261f5b1c"/>
    <s v="LED100950"/>
    <d v="2024-05-24T00:00:00"/>
    <d v="2024-05-24T00:00:00"/>
    <n v="130"/>
    <n v="130"/>
    <n v="0"/>
    <n v="0"/>
    <s v="UPI/GPAY"/>
    <s v="UPI PAYMENT/GPAY"/>
    <x v="0"/>
    <s v="Exact amount + date + transaction type"/>
    <n v="95"/>
    <x v="0"/>
    <s v="Yes"/>
    <s v="Duplicate candidate detected"/>
  </r>
  <r>
    <s v="1b5435dc-d9ff-406c-9dc9-b5142dfb6b00"/>
    <s v="LED100483"/>
    <d v="2024-05-25T00:00:00"/>
    <d v="2024-01-21T00:00:00"/>
    <n v="600"/>
    <n v="568.4"/>
    <n v="-31.6"/>
    <n v="-125"/>
    <s v="NEFT"/>
    <s v="NEFT PAYMENT"/>
    <x v="4"/>
    <s v="Description similarity 100% but amount differs by ₹31.60"/>
    <n v="80"/>
    <x v="1"/>
    <s v="No"/>
    <s v="No duplicate candidate"/>
  </r>
  <r>
    <s v="11f63bd4-d130-46bf-8750-fbc765b13a25"/>
    <s v=""/>
    <d v="2024-05-25T00:00:00"/>
    <m/>
    <n v="50"/>
    <m/>
    <m/>
    <m/>
    <s v="UPI/BHARATPE"/>
    <s v=""/>
    <x v="2"/>
    <s v="No suitable ledger transaction found"/>
    <n v="0"/>
    <x v="2"/>
    <s v="No"/>
    <s v="No duplicate candidate"/>
  </r>
  <r>
    <s v="0aa75e81-6e8b-4b55-9c96-97368b0d6659"/>
    <s v="LED100953"/>
    <d v="2024-05-25T00:00:00"/>
    <d v="2024-05-25T00:00:00"/>
    <n v="60"/>
    <n v="60"/>
    <n v="0"/>
    <n v="0"/>
    <s v="UPI/4512"/>
    <s v="UPI PAYMENT/4512"/>
    <x v="0"/>
    <s v="Exact amount + date + transaction type"/>
    <n v="95"/>
    <x v="0"/>
    <s v="No"/>
    <s v="No duplicate candidate"/>
  </r>
  <r>
    <s v="64989ec7-0c73-4710-89f3-d861eacfe326"/>
    <s v="LED100954"/>
    <d v="2024-05-25T00:00:00"/>
    <d v="2024-05-25T00:00:00"/>
    <n v="10"/>
    <n v="10"/>
    <n v="0"/>
    <n v="0"/>
    <s v="UPI/4512"/>
    <s v="UPI PAYMENT/4512"/>
    <x v="1"/>
    <s v="Amount + type match with description similarity 100%"/>
    <n v="85"/>
    <x v="1"/>
    <s v="Yes"/>
    <s v="Duplicate candidate detected"/>
  </r>
  <r>
    <s v="0efc1af2-5a91-4176-922b-f89a6614085f"/>
    <s v="LED100955"/>
    <d v="2024-05-25T00:00:00"/>
    <d v="2024-05-25T00:00:00"/>
    <n v="640"/>
    <n v="640"/>
    <n v="0"/>
    <n v="0"/>
    <s v="UPI/4512"/>
    <s v="UPI PAYMENT/4512"/>
    <x v="0"/>
    <s v="Exact amount + date + transaction type"/>
    <n v="95"/>
    <x v="0"/>
    <s v="No"/>
    <s v="No duplicate candidate"/>
  </r>
  <r>
    <s v="55c5d6de-5b14-4d88-89bf-bb336319b910"/>
    <s v="LED100956"/>
    <d v="2024-05-25T00:00:00"/>
    <d v="2024-05-25T00:00:00"/>
    <n v="130"/>
    <n v="130"/>
    <n v="0"/>
    <n v="0"/>
    <s v="UPI/GPAY"/>
    <s v="UPI PAYMENT/GPAY"/>
    <x v="0"/>
    <s v="Exact amount + date + transaction type"/>
    <n v="95"/>
    <x v="0"/>
    <s v="No"/>
    <s v="No duplicate candidate"/>
  </r>
  <r>
    <s v="a51900ee-8189-40fb-a168-0ed0d256e304"/>
    <s v="LED100957"/>
    <d v="2024-05-25T00:00:00"/>
    <d v="2024-05-25T00:00:00"/>
    <n v="10"/>
    <n v="10"/>
    <n v="0"/>
    <n v="0"/>
    <s v="UPI/4512"/>
    <s v="UPI PAYMENT/4512"/>
    <x v="0"/>
    <s v="Exact amount + date + transaction type"/>
    <n v="95"/>
    <x v="0"/>
    <s v="Yes"/>
    <s v="Duplicate candidate detected"/>
  </r>
  <r>
    <s v="9eee8e44-9a33-4fff-a926-bd2ce08b29ea"/>
    <s v="LED100981"/>
    <d v="2024-05-25T00:00:00"/>
    <d v="2024-05-29T00:00:00"/>
    <n v="80"/>
    <n v="80"/>
    <n v="0"/>
    <n v="4"/>
    <s v="UPI/PAYTMap"/>
    <s v="UPI PAYMENT/PAYTMAP"/>
    <x v="3"/>
    <s v="Same amount + high description similarity 100% + date difference 4 day(s)"/>
    <n v="65"/>
    <x v="2"/>
    <s v="No"/>
    <s v="No duplicate candidate"/>
  </r>
  <r>
    <s v="553dc082-dcec-4fd8-b281-f66a6476d839"/>
    <s v="LED100959"/>
    <d v="2024-05-25T00:00:00"/>
    <d v="2024-05-25T00:00:00"/>
    <n v="20"/>
    <n v="20"/>
    <n v="0"/>
    <n v="0"/>
    <s v="UPI/PAYTM5p"/>
    <s v="UPI PAYMENT/PAYTM5P"/>
    <x v="0"/>
    <s v="Exact amount + date + transaction type"/>
    <n v="95"/>
    <x v="0"/>
    <s v="No"/>
    <s v="No duplicate candidate"/>
  </r>
  <r>
    <s v="2bf8ddcb-237d-4bda-b211-e6a8ac1a1bfd"/>
    <s v="LED100960"/>
    <d v="2024-05-25T00:00:00"/>
    <d v="2024-05-25T00:00:00"/>
    <n v="1000"/>
    <n v="1000"/>
    <n v="0"/>
    <n v="0"/>
    <s v="IMPS"/>
    <s v="IMPS PAYMENT"/>
    <x v="0"/>
    <s v="Exact amount + date + transaction type"/>
    <n v="95"/>
    <x v="0"/>
    <s v="No"/>
    <s v="No duplicate candidate"/>
  </r>
  <r>
    <s v="cb803ea0-20b9-4f76-a5e5-b70bebf17e04"/>
    <s v="LED100961"/>
    <d v="2024-05-26T00:00:00"/>
    <d v="2024-05-26T00:00:00"/>
    <n v="20"/>
    <n v="20"/>
    <n v="0"/>
    <n v="0"/>
    <s v="UPI/PAYTMtm"/>
    <s v="UPI PAYMENT/PAYTMTM"/>
    <x v="0"/>
    <s v="Exact amount + date + transaction type"/>
    <n v="95"/>
    <x v="0"/>
    <s v="No"/>
    <s v="No duplicate candidate"/>
  </r>
  <r>
    <s v="ce711a57-cfdb-4ea3-b89b-ffddc327c65b"/>
    <s v="LED100962"/>
    <d v="2024-05-26T00:00:00"/>
    <d v="2024-05-26T00:00:00"/>
    <n v="30"/>
    <n v="30"/>
    <n v="0"/>
    <n v="0"/>
    <s v="UPI/PAYTM"/>
    <s v="UPI PAYMENT/PAYTM"/>
    <x v="1"/>
    <s v="Amount + type match with description similarity 100%"/>
    <n v="85"/>
    <x v="1"/>
    <s v="No"/>
    <s v="No duplicate candidate"/>
  </r>
  <r>
    <s v="1d74d62b-640c-4508-a121-c404129cd1d1"/>
    <s v="LED100963"/>
    <d v="2024-05-26T00:00:00"/>
    <d v="2024-05-26T00:00:00"/>
    <n v="30"/>
    <n v="30"/>
    <n v="0"/>
    <n v="0"/>
    <s v="UPI/PAYTMtm"/>
    <s v="UPI PAYMENT/PAYTMTM"/>
    <x v="1"/>
    <s v="Amount + type match with description similarity 100%"/>
    <n v="85"/>
    <x v="1"/>
    <s v="Yes"/>
    <s v="Duplicate candidate detected"/>
  </r>
  <r>
    <s v="efc2151d-f236-440e-b0d7-e90ad7d02463"/>
    <s v="LED100964"/>
    <d v="2024-05-26T00:00:00"/>
    <d v="2024-05-26T00:00:00"/>
    <n v="30"/>
    <n v="30"/>
    <n v="0"/>
    <n v="0"/>
    <s v="UPI/PAYTMtm"/>
    <s v="UPI PAYMENT/PAYTMTM"/>
    <x v="0"/>
    <s v="Exact amount + date + transaction type"/>
    <n v="95"/>
    <x v="0"/>
    <s v="Yes"/>
    <s v="Duplicate candidate detected"/>
  </r>
  <r>
    <s v="e1a3d09f-51c5-483e-a0eb-fce9254092a8"/>
    <s v="LED100965"/>
    <d v="2024-05-26T00:00:00"/>
    <d v="2024-05-26T00:00:00"/>
    <n v="400"/>
    <n v="400"/>
    <n v="0"/>
    <n v="0"/>
    <s v="UPI/45138"/>
    <s v="UPI PAYMENT/45138"/>
    <x v="0"/>
    <s v="Exact amount + date + transaction type"/>
    <n v="95"/>
    <x v="0"/>
    <s v="No"/>
    <s v="No duplicate candidate"/>
  </r>
  <r>
    <s v="bd3e4c88-bec3-456d-8ddf-e05592d6d5c6"/>
    <s v="LED100966"/>
    <d v="2024-05-26T00:00:00"/>
    <d v="2024-05-26T00:00:00"/>
    <n v="10"/>
    <n v="9.5"/>
    <n v="-0.5"/>
    <n v="0"/>
    <s v="UPI/PAYTMup"/>
    <s v="UPI PAYMENT/PAYTMUP"/>
    <x v="4"/>
    <s v="Description similarity 100% but amount differs by ₹0.50"/>
    <n v="80"/>
    <x v="1"/>
    <s v="No"/>
    <s v="No duplicate candidate"/>
  </r>
  <r>
    <s v="24893e56-46f8-450a-9561-e2b9fa4ad1aa"/>
    <s v="LED100967"/>
    <d v="2024-05-26T00:00:00"/>
    <d v="2024-05-26T00:00:00"/>
    <n v="216"/>
    <n v="216"/>
    <n v="0"/>
    <n v="0"/>
    <s v="UPI/PAYTM101"/>
    <s v="UPI PAYMENT/PAYTM101"/>
    <x v="0"/>
    <s v="Exact amount + date + transaction type"/>
    <n v="95"/>
    <x v="0"/>
    <s v="No"/>
    <s v="No duplicate candidate"/>
  </r>
  <r>
    <s v="44b65320-b7f8-4ffa-8c8c-68627bc75acb"/>
    <s v="LED100968"/>
    <d v="2024-05-27T00:00:00"/>
    <d v="2024-05-27T00:00:00"/>
    <n v="260"/>
    <n v="260"/>
    <n v="0"/>
    <n v="0"/>
    <s v="UPI/GPAY"/>
    <s v="UPI PAYMENT/GPAY"/>
    <x v="0"/>
    <s v="Exact amount + date + transaction type"/>
    <n v="95"/>
    <x v="0"/>
    <s v="No"/>
    <s v="No duplicate candidate"/>
  </r>
  <r>
    <s v="ce15b6ec-346d-484f-a993-259e572d40f7"/>
    <s v="LED100969"/>
    <d v="2024-05-27T00:00:00"/>
    <d v="2024-05-27T00:00:00"/>
    <n v="50"/>
    <n v="50"/>
    <n v="0"/>
    <n v="0"/>
    <s v="UPI/PAYTMap"/>
    <s v="UPI PAYMENT/PAYTMAP"/>
    <x v="0"/>
    <s v="Exact amount + date + transaction type"/>
    <n v="95"/>
    <x v="0"/>
    <s v="No"/>
    <s v="No duplicate candidate"/>
  </r>
  <r>
    <s v="a62ff5ed-e775-4c60-a01a-5f29e43b7ac8"/>
    <s v="LED100970"/>
    <d v="2024-05-27T00:00:00"/>
    <d v="2024-05-27T00:00:00"/>
    <n v="20"/>
    <n v="20"/>
    <n v="0"/>
    <n v="0"/>
    <s v="UPI/PAYTM101"/>
    <s v="UPI PAYMENT/PAYTM101"/>
    <x v="0"/>
    <s v="Exact amount + date + transaction type"/>
    <n v="95"/>
    <x v="0"/>
    <s v="No"/>
    <s v="No duplicate candidate"/>
  </r>
  <r>
    <s v="2c3ef021-abc9-4ef8-a1b5-0ae8a6550754"/>
    <s v="LED100971"/>
    <d v="2024-05-27T00:00:00"/>
    <d v="2024-05-27T00:00:00"/>
    <n v="130"/>
    <n v="130"/>
    <n v="0"/>
    <n v="0"/>
    <s v="UPI/GPAY"/>
    <s v="UPI PAYMENT/GPAY"/>
    <x v="0"/>
    <s v="Exact amount + date + transaction type"/>
    <n v="95"/>
    <x v="0"/>
    <s v="No"/>
    <s v="No duplicate candidate"/>
  </r>
  <r>
    <s v="f3d07c84-fbd9-4de6-83e6-ffd9151d8e2b"/>
    <s v="LED100972"/>
    <d v="2024-05-27T00:00:00"/>
    <d v="2024-05-27T00:00:00"/>
    <n v="175"/>
    <n v="175"/>
    <n v="0"/>
    <n v="0"/>
    <s v="UPI/4514"/>
    <s v="UPI PAYMENT/4514"/>
    <x v="0"/>
    <s v="Exact amount + date + transaction type"/>
    <n v="95"/>
    <x v="0"/>
    <s v="No"/>
    <s v="No duplicate candidate"/>
  </r>
  <r>
    <s v="cd7df1ef-e2c1-4dae-a663-380b6d4c03fb"/>
    <s v="LED100973"/>
    <d v="2024-05-28T00:00:00"/>
    <d v="2024-05-28T00:00:00"/>
    <n v="210"/>
    <n v="210"/>
    <n v="0"/>
    <n v="0"/>
    <s v="NEFT"/>
    <s v="NEFT PAYMENT"/>
    <x v="0"/>
    <s v="Exact reference + amount + date + type"/>
    <n v="100"/>
    <x v="0"/>
    <s v="No"/>
    <s v="No duplicate candidate"/>
  </r>
  <r>
    <s v="5ea22a5a-f9a5-4586-95a6-3f9e06d2a6f7"/>
    <s v="LED100974"/>
    <d v="2024-05-28T00:00:00"/>
    <d v="2024-05-28T00:00:00"/>
    <n v="130"/>
    <n v="130"/>
    <n v="0"/>
    <n v="0"/>
    <s v="UPI/GPAY"/>
    <s v="UPI PAYMENT/GPAY"/>
    <x v="1"/>
    <s v="Amount + type match with description similarity 100%"/>
    <n v="85"/>
    <x v="1"/>
    <s v="Yes"/>
    <s v="Duplicate candidate detected"/>
  </r>
  <r>
    <s v="f19f5691-8cc9-4c3f-90f5-f8a37fbc0da2"/>
    <s v="LED100975"/>
    <d v="2024-05-28T00:00:00"/>
    <d v="2024-05-28T00:00:00"/>
    <n v="130"/>
    <n v="130"/>
    <n v="0"/>
    <n v="0"/>
    <s v="UPI/GPAY"/>
    <s v="UPI PAYMENT/GPAY"/>
    <x v="0"/>
    <s v="Exact amount + date + transaction type"/>
    <n v="95"/>
    <x v="0"/>
    <s v="Yes"/>
    <s v="Duplicate candidate detected"/>
  </r>
  <r>
    <s v="be7137b8-527c-411c-ac0d-2a2d68a737c0"/>
    <s v="LED100976"/>
    <d v="2024-05-29T00:00:00"/>
    <d v="2024-05-29T00:00:00"/>
    <n v="150"/>
    <n v="150"/>
    <n v="0"/>
    <n v="0"/>
    <s v="NEFT"/>
    <s v="NEFT PAYMENT"/>
    <x v="0"/>
    <s v="Exact reference + amount + date + type"/>
    <n v="100"/>
    <x v="0"/>
    <s v="No"/>
    <s v="No duplicate candidate"/>
  </r>
  <r>
    <s v="68158208-6c66-4fd7-a492-7dd69e076f99"/>
    <s v="LED100977"/>
    <d v="2024-05-29T00:00:00"/>
    <d v="2024-05-29T00:00:00"/>
    <n v="241"/>
    <n v="240.9"/>
    <n v="0"/>
    <n v="0"/>
    <s v="UPI/GPAYRECHARGE"/>
    <s v="UPI PAYMENT/GPAYRECHARGE"/>
    <x v="0"/>
    <s v="Exact amount + date + transaction type"/>
    <n v="95"/>
    <x v="0"/>
    <s v="No"/>
    <s v="No duplicate candidate"/>
  </r>
  <r>
    <s v="a54acb9b-016e-4474-9e25-1f497f9423d7"/>
    <s v="LED100978"/>
    <d v="2024-05-29T00:00:00"/>
    <d v="2024-05-29T00:00:00"/>
    <n v="130"/>
    <n v="130"/>
    <n v="0"/>
    <n v="0"/>
    <s v="UPI/GPAY"/>
    <s v="UPI PAYMENT/GPAY"/>
    <x v="0"/>
    <s v="Exact amount + date + transaction type"/>
    <n v="95"/>
    <x v="0"/>
    <s v="No"/>
    <s v="No duplicate candidate"/>
  </r>
  <r>
    <s v="b1f8b506-a1ec-485f-b6a3-46821bfac6b7"/>
    <s v="LED100979"/>
    <d v="2024-05-29T00:00:00"/>
    <d v="2024-05-29T00:00:00"/>
    <n v="300"/>
    <n v="300"/>
    <n v="0"/>
    <n v="0"/>
    <s v="UPI/4150"/>
    <s v="UPI PAYMENT/4150"/>
    <x v="0"/>
    <s v="Exact amount + date + transaction type"/>
    <n v="95"/>
    <x v="0"/>
    <s v="No"/>
    <s v="No duplicate candidate"/>
  </r>
  <r>
    <s v="a13ba7fa-3fa2-4607-a064-292aa6b8b67e"/>
    <s v="LED100980"/>
    <d v="2024-05-29T00:00:00"/>
    <d v="2024-05-29T00:00:00"/>
    <n v="245"/>
    <n v="245"/>
    <n v="0"/>
    <n v="0"/>
    <s v="UPI/4516"/>
    <s v="UPI PAYMENT/4516"/>
    <x v="0"/>
    <s v="Exact amount + date + transaction type"/>
    <n v="95"/>
    <x v="0"/>
    <s v="No"/>
    <s v="No duplicate candidate"/>
  </r>
  <r>
    <s v="c3b42859-ac27-483b-9759-c518aeb1e5ab"/>
    <s v="LED100871"/>
    <d v="2024-05-29T00:00:00"/>
    <d v="2024-05-10T00:00:00"/>
    <n v="80"/>
    <n v="78.400000000000006"/>
    <n v="-1.6"/>
    <n v="-19"/>
    <s v="UPI/PAYTMap"/>
    <s v="UPI PAYMENT/PAYTMAP"/>
    <x v="4"/>
    <s v="Description similarity 100% but amount differs by ₹1.60"/>
    <n v="80"/>
    <x v="1"/>
    <s v="No"/>
    <s v="No duplicate candidate"/>
  </r>
  <r>
    <s v="2edaf543-5afd-4247-9320-5c213957cd98"/>
    <s v="LED100151"/>
    <d v="2024-05-30T00:00:00"/>
    <d v="2023-10-05T00:00:00"/>
    <n v="938"/>
    <n v="408"/>
    <n v="-530"/>
    <n v="-238"/>
    <s v="NEFT"/>
    <s v="NEFT PAYMENT"/>
    <x v="4"/>
    <s v="Description similarity 100% but amount differs by ₹530.00"/>
    <n v="80"/>
    <x v="1"/>
    <s v="No"/>
    <s v="No duplicate candidate"/>
  </r>
  <r>
    <s v="87392ae7-630a-4cee-b8c3-d57f144654c1"/>
    <s v="LED100983"/>
    <d v="2024-05-30T00:00:00"/>
    <d v="2024-05-30T00:00:00"/>
    <n v="60"/>
    <n v="60"/>
    <n v="0"/>
    <n v="0"/>
    <s v="UPI/4517"/>
    <s v="UPI PAYMENT/4517"/>
    <x v="0"/>
    <s v="Exact amount + date + transaction type"/>
    <n v="95"/>
    <x v="0"/>
    <s v="No"/>
    <s v="No duplicate candidate"/>
  </r>
  <r>
    <s v="dc9a8f29-efdb-434b-a140-6e20f7185aa3"/>
    <s v="LED100984"/>
    <d v="2024-05-30T00:00:00"/>
    <d v="2024-05-30T00:00:00"/>
    <n v="130"/>
    <n v="130"/>
    <n v="0"/>
    <n v="0"/>
    <s v="UPI/4517"/>
    <s v="UPI PAYMENT/4517"/>
    <x v="0"/>
    <s v="Exact amount + date + transaction type"/>
    <n v="95"/>
    <x v="0"/>
    <s v="No"/>
    <s v="No duplicate candidate"/>
  </r>
  <r>
    <s v="a8722af7-486f-409b-bf44-452b087ecd27"/>
    <s v="LED100985"/>
    <d v="2024-05-30T00:00:00"/>
    <d v="2024-05-30T00:00:00"/>
    <n v="10"/>
    <n v="10"/>
    <n v="0"/>
    <n v="0"/>
    <s v="UPI/4517"/>
    <s v="UPI PAYMENT/4517"/>
    <x v="0"/>
    <s v="Exact amount + date + transaction type"/>
    <n v="95"/>
    <x v="0"/>
    <s v="No"/>
    <s v="No duplicate candidate"/>
  </r>
  <r>
    <s v=""/>
    <s v="LED100710"/>
    <m/>
    <d v="2024-04-05T00:00:00"/>
    <m/>
    <n v="136.5"/>
    <m/>
    <m/>
    <s v=""/>
    <s v="UPI PAYMENT/GPAY"/>
    <x v="5"/>
    <s v="No suitable bank transaction found"/>
    <n v="0"/>
    <x v="2"/>
    <s v="No"/>
    <s v="No duplicate candidate"/>
  </r>
  <r>
    <s v=""/>
    <s v="LED100986"/>
    <m/>
    <d v="2024-03-27T00:00:00"/>
    <m/>
    <n v="20"/>
    <m/>
    <m/>
    <s v=""/>
    <s v="UPI PAYMENT/EAZYPAY"/>
    <x v="6"/>
    <s v="Ledger transaction appears more than once and was not uniquely reconciled"/>
    <n v="0"/>
    <x v="2"/>
    <s v="Yes"/>
    <s v="Duplicate candidate detected"/>
  </r>
  <r>
    <s v=""/>
    <s v="LED100987"/>
    <m/>
    <d v="2024-03-04T00:00:00"/>
    <m/>
    <n v="10"/>
    <m/>
    <m/>
    <s v=""/>
    <s v="UPI PAYMENT/44304"/>
    <x v="6"/>
    <s v="Ledger transaction appears more than once and was not uniquely reconciled"/>
    <n v="0"/>
    <x v="2"/>
    <s v="Yes"/>
    <s v="Duplicate candidate detected"/>
  </r>
  <r>
    <s v=""/>
    <s v="LED100990"/>
    <m/>
    <d v="2023-11-11T00:00:00"/>
    <m/>
    <n v="330"/>
    <m/>
    <m/>
    <s v=""/>
    <s v="UPI PAYMENT/3681"/>
    <x v="6"/>
    <s v="Ledger transaction appears more than once and was not uniquely reconciled"/>
    <n v="0"/>
    <x v="2"/>
    <s v="Yes"/>
    <s v="Duplicate candidate detected"/>
  </r>
  <r>
    <s v=""/>
    <s v="LED100992"/>
    <m/>
    <d v="2024-05-09T00:00:00"/>
    <m/>
    <n v="30"/>
    <m/>
    <m/>
    <s v=""/>
    <s v="UPI PAYMENT/4496"/>
    <x v="6"/>
    <s v="Ledger transaction appears more than once and was not uniquely reconciled"/>
    <n v="0"/>
    <x v="2"/>
    <s v="Yes"/>
    <s v="Duplicate candidate detected"/>
  </r>
  <r>
    <s v=""/>
    <s v="LED100993"/>
    <m/>
    <d v="2023-09-17T00:00:00"/>
    <m/>
    <n v="10"/>
    <m/>
    <m/>
    <s v=""/>
    <s v="UPI PAYMENT/PAYTM101"/>
    <x v="6"/>
    <s v="Ledger transaction appears more than once and was not uniquely reconciled"/>
    <n v="0"/>
    <x v="2"/>
    <s v="Yes"/>
    <s v="Duplicate candidate detected"/>
  </r>
  <r>
    <s v=""/>
    <s v="LED100994"/>
    <m/>
    <d v="2024-03-06T00:00:00"/>
    <m/>
    <n v="60"/>
    <m/>
    <m/>
    <s v=""/>
    <s v="UPI PAYMENT/40664"/>
    <x v="6"/>
    <s v="Ledger transaction appears more than once and was not uniquely reconciled"/>
    <n v="0"/>
    <x v="2"/>
    <s v="Yes"/>
    <s v="Duplicate candidate detected"/>
  </r>
  <r>
    <s v=""/>
    <s v="LED100995"/>
    <m/>
    <d v="2024-02-11T00:00:00"/>
    <m/>
    <n v="15"/>
    <m/>
    <m/>
    <s v=""/>
    <s v="GPAY BILL PAYMENT"/>
    <x v="6"/>
    <s v="Ledger transaction appears more than once and was not uniquely reconciled"/>
    <n v="0"/>
    <x v="2"/>
    <s v="Yes"/>
    <s v="Duplicate candidate detected"/>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23EE5FF9-14A2-444F-B3D4-B97FF5751469}" name="PivotTable1"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2">
  <location ref="AA2:AB10" firstHeaderRow="1" firstDataRow="1" firstDataCol="1"/>
  <pivotFields count="16">
    <pivotField showAll="0"/>
    <pivotField showAll="0"/>
    <pivotField showAll="0"/>
    <pivotField showAll="0"/>
    <pivotField showAll="0"/>
    <pivotField showAll="0"/>
    <pivotField showAll="0"/>
    <pivotField showAll="0"/>
    <pivotField showAll="0"/>
    <pivotField showAll="0"/>
    <pivotField axis="axisRow" dataField="1" showAll="0">
      <items count="8">
        <item x="4"/>
        <item x="6"/>
        <item x="0"/>
        <item x="1"/>
        <item x="3"/>
        <item x="2"/>
        <item x="5"/>
        <item t="default"/>
      </items>
    </pivotField>
    <pivotField showAll="0"/>
    <pivotField showAll="0"/>
    <pivotField showAll="0">
      <items count="4">
        <item x="0"/>
        <item x="2"/>
        <item x="1"/>
        <item t="default"/>
      </items>
    </pivotField>
    <pivotField showAll="0"/>
    <pivotField showAll="0"/>
  </pivotFields>
  <rowFields count="1">
    <field x="10"/>
  </rowFields>
  <rowItems count="8">
    <i>
      <x/>
    </i>
    <i>
      <x v="1"/>
    </i>
    <i>
      <x v="2"/>
    </i>
    <i>
      <x v="3"/>
    </i>
    <i>
      <x v="4"/>
    </i>
    <i>
      <x v="5"/>
    </i>
    <i>
      <x v="6"/>
    </i>
    <i t="grand">
      <x/>
    </i>
  </rowItems>
  <colItems count="1">
    <i/>
  </colItems>
  <dataFields count="1">
    <dataField name="Count of match_status" fld="10" subtotal="count" baseField="0" baseItem="0"/>
  </dataFields>
  <chartFormats count="1">
    <chartFormat chart="0" format="0"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CA8D2A3C-48D6-465B-943E-BB5A2B42BC09}" name="PivotTable3"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2">
  <location ref="AA3:AB10" firstHeaderRow="1" firstDataRow="1" firstDataCol="1"/>
  <pivotFields count="16">
    <pivotField showAll="0"/>
    <pivotField showAll="0"/>
    <pivotField showAll="0"/>
    <pivotField showAll="0"/>
    <pivotField showAll="0"/>
    <pivotField showAll="0"/>
    <pivotField showAll="0"/>
    <pivotField showAll="0"/>
    <pivotField showAll="0"/>
    <pivotField showAll="0"/>
    <pivotField axis="axisRow" dataField="1" showAll="0">
      <items count="8">
        <item x="4"/>
        <item x="6"/>
        <item h="1" x="0"/>
        <item x="1"/>
        <item x="3"/>
        <item x="2"/>
        <item x="5"/>
        <item t="default"/>
      </items>
    </pivotField>
    <pivotField showAll="0"/>
    <pivotField showAll="0"/>
    <pivotField showAll="0">
      <items count="4">
        <item x="0"/>
        <item x="2"/>
        <item x="1"/>
        <item t="default"/>
      </items>
    </pivotField>
    <pivotField showAll="0"/>
    <pivotField showAll="0"/>
  </pivotFields>
  <rowFields count="1">
    <field x="10"/>
  </rowFields>
  <rowItems count="7">
    <i>
      <x/>
    </i>
    <i>
      <x v="1"/>
    </i>
    <i>
      <x v="3"/>
    </i>
    <i>
      <x v="4"/>
    </i>
    <i>
      <x v="5"/>
    </i>
    <i>
      <x v="6"/>
    </i>
    <i t="grand">
      <x/>
    </i>
  </rowItems>
  <colItems count="1">
    <i/>
  </colItems>
  <dataFields count="1">
    <dataField name="Count of match_status" fld="10" subtotal="count" baseField="0" baseItem="0"/>
  </dataFields>
  <chartFormats count="1">
    <chartFormat chart="0" format="0"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queryTables/queryTable1.xml><?xml version="1.0" encoding="utf-8"?>
<queryTable xmlns="http://schemas.openxmlformats.org/spreadsheetml/2006/main" xmlns:mc="http://schemas.openxmlformats.org/markup-compatibility/2006" xmlns:xr16="http://schemas.microsoft.com/office/spreadsheetml/2017/revision16" mc:Ignorable="xr16" name="ExternalData_1" backgroundRefresh="0" connectionId="1" xr16:uid="{A1566D24-C91F-4507-BBCF-8D1DA482D428}" autoFormatId="16" applyNumberFormats="0" applyBorderFormats="0" applyFontFormats="0" applyPatternFormats="0" applyAlignmentFormats="0" applyWidthHeightFormats="0">
  <queryTableRefresh nextId="17">
    <queryTableFields count="16">
      <queryTableField id="1" name="bank_transaction_id" tableColumnId="1"/>
      <queryTableField id="2" name="ledger_id" tableColumnId="2"/>
      <queryTableField id="3" name="bank_date" tableColumnId="3"/>
      <queryTableField id="4" name="ledger_date" tableColumnId="4"/>
      <queryTableField id="5" name="bank_amount" tableColumnId="5"/>
      <queryTableField id="6" name="ledger_amount" tableColumnId="6"/>
      <queryTableField id="7" name="amount_difference" tableColumnId="7"/>
      <queryTableField id="8" name="date_difference_days" tableColumnId="8"/>
      <queryTableField id="9" name="bank_description" tableColumnId="9"/>
      <queryTableField id="10" name="ledger_description" tableColumnId="10"/>
      <queryTableField id="11" name="match_status" tableColumnId="11"/>
      <queryTableField id="12" name="match_reason" tableColumnId="12"/>
      <queryTableField id="13" name="confidence_score" tableColumnId="13"/>
      <queryTableField id="14" name="confidence_tier" tableColumnId="14"/>
      <queryTableField id="15" name="duplicate_flag" tableColumnId="15"/>
      <queryTableField id="16" name="duplicate_note" tableColumnId="16"/>
    </queryTableFields>
  </queryTableRefresh>
</queryTable>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match_status" xr10:uid="{1BFE77FF-B809-4118-B7C8-682DF95BB944}" sourceName="match_status">
  <pivotTables>
    <pivotTable tabId="1" name="PivotTable1"/>
  </pivotTables>
  <data>
    <tabular pivotCacheId="5336303">
      <items count="7">
        <i x="4" s="1"/>
        <i x="6" s="1"/>
        <i x="0" s="1"/>
        <i x="1" s="1"/>
        <i x="3" s="1"/>
        <i x="2" s="1"/>
        <i x="5" s="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confidence_tier" xr10:uid="{2F37A0BD-F518-4ED7-BBAB-89D17F645380}" sourceName="confidence_tier">
  <pivotTables>
    <pivotTable tabId="1" name="PivotTable1"/>
  </pivotTables>
  <data>
    <tabular pivotCacheId="5336303">
      <items count="3">
        <i x="0" s="1"/>
        <i x="2" s="1"/>
        <i x="1" s="1"/>
      </items>
    </tabular>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confidence_tier1" xr10:uid="{41A55141-857D-44FF-9538-2376C2721A4F}" sourceName="confidence_tier">
  <pivotTables>
    <pivotTable tabId="2" name="PivotTable3"/>
  </pivotTables>
  <data>
    <tabular pivotCacheId="5336303">
      <items count="3">
        <i x="2" s="1"/>
        <i x="1" s="1"/>
        <i x="0" s="1" nd="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match_status" xr10:uid="{D927C061-B696-4D93-B429-D6AE2EC55A4D}" cache="Slicer_match_status" caption="match_status" rowHeight="234950"/>
  <slicer name="confidence_tier" xr10:uid="{23F0E2D3-9700-47FC-8102-EE3A3D346CAE}" cache="Slicer_confidence_tier" caption="confidence_tier" rowHeight="234950"/>
</slicers>
</file>

<file path=xl/slicers/slicer2.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confidence_tier 1" xr10:uid="{234EF976-CEAC-4539-A015-DE4E71A5D08B}" cache="Slicer_confidence_tier1" caption="confidence_tier" rowHeight="234950"/>
</slicers>
</file>

<file path=xl/tables/_rels/table1.xml.rels><?xml version="1.0" encoding="UTF-8" standalone="yes"?>
<Relationships xmlns="http://schemas.openxmlformats.org/package/2006/relationships"><Relationship Id="rId1" Type="http://schemas.openxmlformats.org/officeDocument/2006/relationships/queryTable" Target="../queryTables/queryTable1.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E2F9980B-3223-4EF5-BBF1-7423F3319FB8}" name="reconciliation_results_v4" displayName="reconciliation_results_v4" ref="A1:P994" tableType="queryTable" totalsRowShown="0">
  <autoFilter ref="A1:P994" xr:uid="{E2F9980B-3223-4EF5-BBF1-7423F3319FB8}"/>
  <tableColumns count="16">
    <tableColumn id="1" xr3:uid="{BAA215D5-DEE5-427F-86C5-E16933B3CD8F}" uniqueName="1" name="bank_transaction_id" queryTableFieldId="1" dataDxfId="11"/>
    <tableColumn id="2" xr3:uid="{7590FCC5-5846-4A32-B727-A44450DB37B0}" uniqueName="2" name="ledger_id" queryTableFieldId="2" dataDxfId="10"/>
    <tableColumn id="3" xr3:uid="{08C5BB50-B6B8-4D2F-ABA7-7F6275AF3BDE}" uniqueName="3" name="bank_date" queryTableFieldId="3" dataDxfId="9"/>
    <tableColumn id="4" xr3:uid="{B3A8060D-6976-43A5-8EEF-CF75A8482F89}" uniqueName="4" name="ledger_date" queryTableFieldId="4" dataDxfId="8"/>
    <tableColumn id="5" xr3:uid="{E94DAA75-C863-4EA4-A51D-D8E9426D41CE}" uniqueName="5" name="bank_amount" queryTableFieldId="5"/>
    <tableColumn id="6" xr3:uid="{EED9F57B-C630-4C78-A5B3-5DF784BF1C16}" uniqueName="6" name="ledger_amount" queryTableFieldId="6"/>
    <tableColumn id="7" xr3:uid="{EE95BFA9-A9ED-40A2-8A5F-456EF80CB450}" uniqueName="7" name="amount_difference" queryTableFieldId="7"/>
    <tableColumn id="8" xr3:uid="{72E816C8-AB4C-4E96-B4AF-B57D7837B659}" uniqueName="8" name="date_difference_days" queryTableFieldId="8"/>
    <tableColumn id="9" xr3:uid="{8F6F01EC-381B-4B23-BBB9-928985465E60}" uniqueName="9" name="bank_description" queryTableFieldId="9" dataDxfId="7"/>
    <tableColumn id="10" xr3:uid="{4FB28891-E4C8-4D2A-9253-5E30AF70B7CB}" uniqueName="10" name="ledger_description" queryTableFieldId="10" dataDxfId="6"/>
    <tableColumn id="11" xr3:uid="{DA05396E-0BC4-4D8C-95CB-BAC09A6863FC}" uniqueName="11" name="match_status" queryTableFieldId="11" dataDxfId="5"/>
    <tableColumn id="12" xr3:uid="{423791BB-30C9-4748-ABBE-D78175528DB7}" uniqueName="12" name="match_reason" queryTableFieldId="12" dataDxfId="4"/>
    <tableColumn id="13" xr3:uid="{D37C4796-FE01-4A2B-8F8D-CAF7D6953956}" uniqueName="13" name="confidence_score" queryTableFieldId="13"/>
    <tableColumn id="14" xr3:uid="{0DB62627-A2D0-4644-BA74-83CA07238942}" uniqueName="14" name="confidence_tier" queryTableFieldId="14" dataDxfId="3"/>
    <tableColumn id="15" xr3:uid="{6F2B529B-E44E-4A8A-BEDA-D6A7E40B395C}" uniqueName="15" name="duplicate_flag" queryTableFieldId="15" dataDxfId="2"/>
    <tableColumn id="16" xr3:uid="{9D5F6375-4F56-483E-8142-2A0020F35C6E}" uniqueName="16" name="duplicate_note" queryTableFieldId="16" dataDxfId="1"/>
  </tableColumns>
  <tableStyleInfo name="TableStyleMedium7"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table" Target="../tables/table1.xml"/></Relationships>
</file>

<file path=xl/worksheets/_rels/sheet2.xml.rels><?xml version="1.0" encoding="UTF-8" standalone="yes"?>
<Relationships xmlns="http://schemas.openxmlformats.org/package/2006/relationships"><Relationship Id="rId3" Type="http://schemas.microsoft.com/office/2007/relationships/slicer" Target="../slicers/slicer1.xml"/><Relationship Id="rId2" Type="http://schemas.openxmlformats.org/officeDocument/2006/relationships/drawing" Target="../drawings/drawing1.xml"/><Relationship Id="rId1" Type="http://schemas.openxmlformats.org/officeDocument/2006/relationships/pivotTable" Target="../pivotTables/pivotTable1.xml"/></Relationships>
</file>

<file path=xl/worksheets/_rels/sheet3.xml.rels><?xml version="1.0" encoding="UTF-8" standalone="yes"?>
<Relationships xmlns="http://schemas.openxmlformats.org/package/2006/relationships"><Relationship Id="rId3" Type="http://schemas.microsoft.com/office/2007/relationships/slicer" Target="../slicers/slicer2.xml"/><Relationship Id="rId2" Type="http://schemas.openxmlformats.org/officeDocument/2006/relationships/drawing" Target="../drawings/drawing2.xml"/><Relationship Id="rId1" Type="http://schemas.openxmlformats.org/officeDocument/2006/relationships/pivotTable" Target="../pivotTables/pivotTable2.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99790CC-78BC-4106-944E-F3706145C4B7}">
  <dimension ref="A1:P994"/>
  <sheetViews>
    <sheetView tabSelected="1" workbookViewId="0">
      <selection sqref="A1:XFD1"/>
    </sheetView>
  </sheetViews>
  <sheetFormatPr defaultRowHeight="14.4" x14ac:dyDescent="0.3"/>
  <cols>
    <col min="1" max="1" width="36.33203125" bestFit="1" customWidth="1"/>
    <col min="2" max="2" width="11" bestFit="1" customWidth="1"/>
    <col min="3" max="3" width="12.21875" bestFit="1" customWidth="1"/>
    <col min="4" max="4" width="13.21875" bestFit="1" customWidth="1"/>
    <col min="5" max="5" width="15.109375" bestFit="1" customWidth="1"/>
    <col min="6" max="6" width="16.21875" bestFit="1" customWidth="1"/>
    <col min="7" max="7" width="19.6640625" bestFit="1" customWidth="1"/>
    <col min="8" max="8" width="21.6640625" bestFit="1" customWidth="1"/>
    <col min="9" max="9" width="24.88671875" bestFit="1" customWidth="1"/>
    <col min="10" max="10" width="36.5546875" bestFit="1" customWidth="1"/>
    <col min="11" max="11" width="26.77734375" bestFit="1" customWidth="1"/>
    <col min="12" max="12" width="64.21875" bestFit="1" customWidth="1"/>
    <col min="13" max="13" width="18.109375" bestFit="1" customWidth="1"/>
    <col min="14" max="14" width="16.44140625" bestFit="1" customWidth="1"/>
    <col min="15" max="15" width="15.109375" bestFit="1" customWidth="1"/>
    <col min="16" max="16" width="25.109375" bestFit="1" customWidth="1"/>
  </cols>
  <sheetData>
    <row r="1" spans="1:16" x14ac:dyDescent="0.3">
      <c r="A1" t="s">
        <v>0</v>
      </c>
      <c r="B1" t="s">
        <v>1</v>
      </c>
      <c r="C1" t="s">
        <v>2</v>
      </c>
      <c r="D1" t="s">
        <v>3</v>
      </c>
      <c r="E1" t="s">
        <v>4</v>
      </c>
      <c r="F1" t="s">
        <v>5</v>
      </c>
      <c r="G1" t="s">
        <v>6</v>
      </c>
      <c r="H1" t="s">
        <v>7</v>
      </c>
      <c r="I1" t="s">
        <v>8</v>
      </c>
      <c r="J1" t="s">
        <v>9</v>
      </c>
      <c r="K1" t="s">
        <v>10</v>
      </c>
      <c r="L1" t="s">
        <v>11</v>
      </c>
      <c r="M1" t="s">
        <v>12</v>
      </c>
      <c r="N1" t="s">
        <v>13</v>
      </c>
      <c r="O1" t="s">
        <v>14</v>
      </c>
      <c r="P1" t="s">
        <v>15</v>
      </c>
    </row>
    <row r="2" spans="1:16" x14ac:dyDescent="0.3">
      <c r="A2" t="s">
        <v>16</v>
      </c>
      <c r="B2" t="s">
        <v>17</v>
      </c>
      <c r="C2" s="1">
        <v>45104</v>
      </c>
      <c r="D2" s="1">
        <v>45104</v>
      </c>
      <c r="E2">
        <v>100</v>
      </c>
      <c r="F2">
        <v>100</v>
      </c>
      <c r="G2">
        <v>0</v>
      </c>
      <c r="H2">
        <v>0</v>
      </c>
      <c r="I2" t="s">
        <v>18</v>
      </c>
      <c r="J2" t="s">
        <v>18</v>
      </c>
      <c r="K2" t="s">
        <v>19</v>
      </c>
      <c r="L2" t="s">
        <v>20</v>
      </c>
      <c r="M2">
        <v>95</v>
      </c>
      <c r="N2" t="s">
        <v>21</v>
      </c>
      <c r="O2" t="s">
        <v>22</v>
      </c>
      <c r="P2" t="s">
        <v>23</v>
      </c>
    </row>
    <row r="3" spans="1:16" x14ac:dyDescent="0.3">
      <c r="A3" t="s">
        <v>24</v>
      </c>
      <c r="B3" t="s">
        <v>25</v>
      </c>
      <c r="C3" s="1">
        <v>45105</v>
      </c>
      <c r="D3" s="1">
        <v>45105</v>
      </c>
      <c r="E3">
        <v>170</v>
      </c>
      <c r="F3">
        <v>170</v>
      </c>
      <c r="G3">
        <v>0</v>
      </c>
      <c r="H3">
        <v>0</v>
      </c>
      <c r="I3" t="s">
        <v>18</v>
      </c>
      <c r="J3" t="s">
        <v>18</v>
      </c>
      <c r="K3" t="s">
        <v>19</v>
      </c>
      <c r="L3" t="s">
        <v>20</v>
      </c>
      <c r="M3">
        <v>95</v>
      </c>
      <c r="N3" t="s">
        <v>21</v>
      </c>
      <c r="O3" t="s">
        <v>22</v>
      </c>
      <c r="P3" t="s">
        <v>23</v>
      </c>
    </row>
    <row r="4" spans="1:16" x14ac:dyDescent="0.3">
      <c r="A4" t="s">
        <v>26</v>
      </c>
      <c r="B4" t="s">
        <v>27</v>
      </c>
      <c r="C4" s="1">
        <v>45133</v>
      </c>
      <c r="D4" s="1">
        <v>45133</v>
      </c>
      <c r="E4">
        <v>500</v>
      </c>
      <c r="F4">
        <v>500</v>
      </c>
      <c r="G4">
        <v>0</v>
      </c>
      <c r="H4">
        <v>0</v>
      </c>
      <c r="I4" t="s">
        <v>18</v>
      </c>
      <c r="J4" t="s">
        <v>18</v>
      </c>
      <c r="K4" t="s">
        <v>19</v>
      </c>
      <c r="L4" t="s">
        <v>20</v>
      </c>
      <c r="M4">
        <v>95</v>
      </c>
      <c r="N4" t="s">
        <v>21</v>
      </c>
      <c r="O4" t="s">
        <v>22</v>
      </c>
      <c r="P4" t="s">
        <v>23</v>
      </c>
    </row>
    <row r="5" spans="1:16" x14ac:dyDescent="0.3">
      <c r="A5" t="s">
        <v>28</v>
      </c>
      <c r="B5" t="s">
        <v>29</v>
      </c>
      <c r="C5" s="1">
        <v>45138</v>
      </c>
      <c r="D5" s="1">
        <v>45138</v>
      </c>
      <c r="E5">
        <v>15</v>
      </c>
      <c r="F5">
        <v>15</v>
      </c>
      <c r="G5">
        <v>0</v>
      </c>
      <c r="H5">
        <v>0</v>
      </c>
      <c r="I5" t="s">
        <v>30</v>
      </c>
      <c r="J5" t="s">
        <v>30</v>
      </c>
      <c r="K5" t="s">
        <v>19</v>
      </c>
      <c r="L5" t="s">
        <v>20</v>
      </c>
      <c r="M5">
        <v>95</v>
      </c>
      <c r="N5" t="s">
        <v>21</v>
      </c>
      <c r="O5" t="s">
        <v>22</v>
      </c>
      <c r="P5" t="s">
        <v>23</v>
      </c>
    </row>
    <row r="6" spans="1:16" x14ac:dyDescent="0.3">
      <c r="A6" t="s">
        <v>31</v>
      </c>
      <c r="B6" t="s">
        <v>32</v>
      </c>
      <c r="C6" s="1">
        <v>45145</v>
      </c>
      <c r="D6" s="1">
        <v>45145</v>
      </c>
      <c r="E6">
        <v>1000</v>
      </c>
      <c r="F6">
        <v>1000</v>
      </c>
      <c r="G6">
        <v>0</v>
      </c>
      <c r="H6">
        <v>0</v>
      </c>
      <c r="I6" t="s">
        <v>33</v>
      </c>
      <c r="J6" t="s">
        <v>34</v>
      </c>
      <c r="K6" t="s">
        <v>19</v>
      </c>
      <c r="L6" t="s">
        <v>20</v>
      </c>
      <c r="M6">
        <v>95</v>
      </c>
      <c r="N6" t="s">
        <v>21</v>
      </c>
      <c r="O6" t="s">
        <v>22</v>
      </c>
      <c r="P6" t="s">
        <v>23</v>
      </c>
    </row>
    <row r="7" spans="1:16" x14ac:dyDescent="0.3">
      <c r="A7" t="s">
        <v>35</v>
      </c>
      <c r="B7" t="s">
        <v>36</v>
      </c>
      <c r="C7" s="1">
        <v>45160</v>
      </c>
      <c r="D7" s="1">
        <v>45160</v>
      </c>
      <c r="E7">
        <v>1</v>
      </c>
      <c r="F7">
        <v>1</v>
      </c>
      <c r="G7">
        <v>0</v>
      </c>
      <c r="H7">
        <v>0</v>
      </c>
      <c r="I7" t="s">
        <v>37</v>
      </c>
      <c r="J7" t="s">
        <v>38</v>
      </c>
      <c r="K7" t="s">
        <v>19</v>
      </c>
      <c r="L7" t="s">
        <v>20</v>
      </c>
      <c r="M7">
        <v>95</v>
      </c>
      <c r="N7" t="s">
        <v>21</v>
      </c>
      <c r="O7" t="s">
        <v>22</v>
      </c>
      <c r="P7" t="s">
        <v>23</v>
      </c>
    </row>
    <row r="8" spans="1:16" x14ac:dyDescent="0.3">
      <c r="A8" t="s">
        <v>39</v>
      </c>
      <c r="B8" t="s">
        <v>40</v>
      </c>
      <c r="C8" s="1">
        <v>45160</v>
      </c>
      <c r="D8" s="1">
        <v>45160</v>
      </c>
      <c r="E8">
        <v>3000</v>
      </c>
      <c r="F8">
        <v>3000</v>
      </c>
      <c r="G8">
        <v>0</v>
      </c>
      <c r="H8">
        <v>0</v>
      </c>
      <c r="I8" t="s">
        <v>37</v>
      </c>
      <c r="J8" t="s">
        <v>38</v>
      </c>
      <c r="K8" t="s">
        <v>19</v>
      </c>
      <c r="L8" t="s">
        <v>20</v>
      </c>
      <c r="M8">
        <v>95</v>
      </c>
      <c r="N8" t="s">
        <v>21</v>
      </c>
      <c r="O8" t="s">
        <v>22</v>
      </c>
      <c r="P8" t="s">
        <v>23</v>
      </c>
    </row>
    <row r="9" spans="1:16" x14ac:dyDescent="0.3">
      <c r="A9" t="s">
        <v>41</v>
      </c>
      <c r="B9" t="s">
        <v>42</v>
      </c>
      <c r="C9" s="1">
        <v>45160</v>
      </c>
      <c r="D9" s="1">
        <v>45160</v>
      </c>
      <c r="E9">
        <v>300</v>
      </c>
      <c r="F9">
        <v>300</v>
      </c>
      <c r="G9">
        <v>0</v>
      </c>
      <c r="H9">
        <v>0</v>
      </c>
      <c r="I9" t="s">
        <v>43</v>
      </c>
      <c r="J9" t="s">
        <v>44</v>
      </c>
      <c r="K9" t="s">
        <v>19</v>
      </c>
      <c r="L9" t="s">
        <v>20</v>
      </c>
      <c r="M9">
        <v>95</v>
      </c>
      <c r="N9" t="s">
        <v>21</v>
      </c>
      <c r="O9" t="s">
        <v>22</v>
      </c>
      <c r="P9" t="s">
        <v>23</v>
      </c>
    </row>
    <row r="10" spans="1:16" x14ac:dyDescent="0.3">
      <c r="A10" t="s">
        <v>45</v>
      </c>
      <c r="B10" t="s">
        <v>46</v>
      </c>
      <c r="C10" s="1">
        <v>45161</v>
      </c>
      <c r="D10" s="1">
        <v>45161</v>
      </c>
      <c r="E10">
        <v>1200</v>
      </c>
      <c r="F10">
        <v>1200</v>
      </c>
      <c r="G10">
        <v>0</v>
      </c>
      <c r="H10">
        <v>0</v>
      </c>
      <c r="I10" t="s">
        <v>47</v>
      </c>
      <c r="J10" t="s">
        <v>48</v>
      </c>
      <c r="K10" t="s">
        <v>19</v>
      </c>
      <c r="L10" t="s">
        <v>20</v>
      </c>
      <c r="M10">
        <v>95</v>
      </c>
      <c r="N10" t="s">
        <v>21</v>
      </c>
      <c r="O10" t="s">
        <v>22</v>
      </c>
      <c r="P10" t="s">
        <v>23</v>
      </c>
    </row>
    <row r="11" spans="1:16" x14ac:dyDescent="0.3">
      <c r="A11" t="s">
        <v>49</v>
      </c>
      <c r="B11" t="s">
        <v>50</v>
      </c>
      <c r="C11" s="1">
        <v>45161</v>
      </c>
      <c r="D11" s="1">
        <v>45161</v>
      </c>
      <c r="E11">
        <v>400</v>
      </c>
      <c r="F11">
        <v>400</v>
      </c>
      <c r="G11">
        <v>0</v>
      </c>
      <c r="H11">
        <v>0</v>
      </c>
      <c r="I11" t="s">
        <v>51</v>
      </c>
      <c r="J11" t="s">
        <v>52</v>
      </c>
      <c r="K11" t="s">
        <v>19</v>
      </c>
      <c r="L11" t="s">
        <v>20</v>
      </c>
      <c r="M11">
        <v>95</v>
      </c>
      <c r="N11" t="s">
        <v>21</v>
      </c>
      <c r="O11" t="s">
        <v>22</v>
      </c>
      <c r="P11" t="s">
        <v>23</v>
      </c>
    </row>
    <row r="12" spans="1:16" x14ac:dyDescent="0.3">
      <c r="A12" t="s">
        <v>53</v>
      </c>
      <c r="B12" t="s">
        <v>54</v>
      </c>
      <c r="C12" s="1">
        <v>45162</v>
      </c>
      <c r="D12" s="1">
        <v>45162</v>
      </c>
      <c r="E12">
        <v>500</v>
      </c>
      <c r="F12">
        <v>500</v>
      </c>
      <c r="G12">
        <v>0</v>
      </c>
      <c r="H12">
        <v>0</v>
      </c>
      <c r="I12" t="s">
        <v>55</v>
      </c>
      <c r="J12" t="s">
        <v>56</v>
      </c>
      <c r="K12" t="s">
        <v>19</v>
      </c>
      <c r="L12" t="s">
        <v>20</v>
      </c>
      <c r="M12">
        <v>95</v>
      </c>
      <c r="N12" t="s">
        <v>21</v>
      </c>
      <c r="O12" t="s">
        <v>22</v>
      </c>
      <c r="P12" t="s">
        <v>23</v>
      </c>
    </row>
    <row r="13" spans="1:16" x14ac:dyDescent="0.3">
      <c r="A13" t="s">
        <v>57</v>
      </c>
      <c r="B13" t="s">
        <v>58</v>
      </c>
      <c r="C13" s="1">
        <v>45162</v>
      </c>
      <c r="D13" s="1">
        <v>45162</v>
      </c>
      <c r="E13">
        <v>300</v>
      </c>
      <c r="F13">
        <v>300</v>
      </c>
      <c r="G13">
        <v>0</v>
      </c>
      <c r="H13">
        <v>0</v>
      </c>
      <c r="I13" t="s">
        <v>55</v>
      </c>
      <c r="J13" t="s">
        <v>56</v>
      </c>
      <c r="K13" t="s">
        <v>19</v>
      </c>
      <c r="L13" t="s">
        <v>20</v>
      </c>
      <c r="M13">
        <v>95</v>
      </c>
      <c r="N13" t="s">
        <v>21</v>
      </c>
      <c r="O13" t="s">
        <v>22</v>
      </c>
      <c r="P13" t="s">
        <v>23</v>
      </c>
    </row>
    <row r="14" spans="1:16" x14ac:dyDescent="0.3">
      <c r="A14" t="s">
        <v>59</v>
      </c>
      <c r="B14" t="s">
        <v>60</v>
      </c>
      <c r="C14" s="1">
        <v>45162</v>
      </c>
      <c r="D14" s="1">
        <v>45162</v>
      </c>
      <c r="E14">
        <v>140</v>
      </c>
      <c r="F14">
        <v>140</v>
      </c>
      <c r="G14">
        <v>0</v>
      </c>
      <c r="H14">
        <v>0</v>
      </c>
      <c r="I14" t="s">
        <v>55</v>
      </c>
      <c r="J14" t="s">
        <v>56</v>
      </c>
      <c r="K14" t="s">
        <v>19</v>
      </c>
      <c r="L14" t="s">
        <v>20</v>
      </c>
      <c r="M14">
        <v>95</v>
      </c>
      <c r="N14" t="s">
        <v>21</v>
      </c>
      <c r="O14" t="s">
        <v>22</v>
      </c>
      <c r="P14" t="s">
        <v>23</v>
      </c>
    </row>
    <row r="15" spans="1:16" x14ac:dyDescent="0.3">
      <c r="A15" t="s">
        <v>61</v>
      </c>
      <c r="B15" t="s">
        <v>62</v>
      </c>
      <c r="C15" s="1">
        <v>45162</v>
      </c>
      <c r="D15" s="1">
        <v>45162</v>
      </c>
      <c r="E15">
        <v>400</v>
      </c>
      <c r="F15">
        <v>400</v>
      </c>
      <c r="G15">
        <v>0</v>
      </c>
      <c r="H15">
        <v>0</v>
      </c>
      <c r="I15" t="s">
        <v>55</v>
      </c>
      <c r="J15" t="s">
        <v>56</v>
      </c>
      <c r="K15" t="s">
        <v>19</v>
      </c>
      <c r="L15" t="s">
        <v>20</v>
      </c>
      <c r="M15">
        <v>95</v>
      </c>
      <c r="N15" t="s">
        <v>21</v>
      </c>
      <c r="O15" t="s">
        <v>22</v>
      </c>
      <c r="P15" t="s">
        <v>23</v>
      </c>
    </row>
    <row r="16" spans="1:16" x14ac:dyDescent="0.3">
      <c r="A16" t="s">
        <v>63</v>
      </c>
      <c r="B16" t="s">
        <v>64</v>
      </c>
      <c r="C16" s="1">
        <v>45162</v>
      </c>
      <c r="D16" s="1">
        <v>45162</v>
      </c>
      <c r="E16">
        <v>750</v>
      </c>
      <c r="F16">
        <v>750</v>
      </c>
      <c r="G16">
        <v>0</v>
      </c>
      <c r="H16">
        <v>0</v>
      </c>
      <c r="I16" t="s">
        <v>55</v>
      </c>
      <c r="J16" t="s">
        <v>56</v>
      </c>
      <c r="K16" t="s">
        <v>19</v>
      </c>
      <c r="L16" t="s">
        <v>20</v>
      </c>
      <c r="M16">
        <v>95</v>
      </c>
      <c r="N16" t="s">
        <v>21</v>
      </c>
      <c r="O16" t="s">
        <v>22</v>
      </c>
      <c r="P16" t="s">
        <v>23</v>
      </c>
    </row>
    <row r="17" spans="1:16" x14ac:dyDescent="0.3">
      <c r="A17" t="s">
        <v>65</v>
      </c>
      <c r="B17" t="s">
        <v>66</v>
      </c>
      <c r="C17" s="1">
        <v>45162</v>
      </c>
      <c r="D17" s="1">
        <v>45162</v>
      </c>
      <c r="E17">
        <v>80</v>
      </c>
      <c r="F17">
        <v>80</v>
      </c>
      <c r="G17">
        <v>0</v>
      </c>
      <c r="H17">
        <v>0</v>
      </c>
      <c r="I17" t="s">
        <v>67</v>
      </c>
      <c r="J17" t="s">
        <v>68</v>
      </c>
      <c r="K17" t="s">
        <v>19</v>
      </c>
      <c r="L17" t="s">
        <v>20</v>
      </c>
      <c r="M17">
        <v>95</v>
      </c>
      <c r="N17" t="s">
        <v>21</v>
      </c>
      <c r="O17" t="s">
        <v>22</v>
      </c>
      <c r="P17" t="s">
        <v>23</v>
      </c>
    </row>
    <row r="18" spans="1:16" x14ac:dyDescent="0.3">
      <c r="A18" t="s">
        <v>69</v>
      </c>
      <c r="B18" t="s">
        <v>70</v>
      </c>
      <c r="C18" s="1">
        <v>45162</v>
      </c>
      <c r="D18" s="1">
        <v>45162</v>
      </c>
      <c r="E18">
        <v>30</v>
      </c>
      <c r="F18">
        <v>30</v>
      </c>
      <c r="G18">
        <v>0</v>
      </c>
      <c r="H18">
        <v>0</v>
      </c>
      <c r="I18" t="s">
        <v>55</v>
      </c>
      <c r="J18" t="s">
        <v>56</v>
      </c>
      <c r="K18" t="s">
        <v>19</v>
      </c>
      <c r="L18" t="s">
        <v>20</v>
      </c>
      <c r="M18">
        <v>95</v>
      </c>
      <c r="N18" t="s">
        <v>21</v>
      </c>
      <c r="O18" t="s">
        <v>22</v>
      </c>
      <c r="P18" t="s">
        <v>23</v>
      </c>
    </row>
    <row r="19" spans="1:16" x14ac:dyDescent="0.3">
      <c r="A19" t="s">
        <v>71</v>
      </c>
      <c r="B19" t="s">
        <v>72</v>
      </c>
      <c r="C19" s="1">
        <v>45163</v>
      </c>
      <c r="D19" s="1">
        <v>45163</v>
      </c>
      <c r="E19">
        <v>2480</v>
      </c>
      <c r="F19">
        <v>2480</v>
      </c>
      <c r="G19">
        <v>0</v>
      </c>
      <c r="H19">
        <v>0</v>
      </c>
      <c r="I19" t="s">
        <v>73</v>
      </c>
      <c r="J19" t="s">
        <v>74</v>
      </c>
      <c r="K19" t="s">
        <v>19</v>
      </c>
      <c r="L19" t="s">
        <v>20</v>
      </c>
      <c r="M19">
        <v>95</v>
      </c>
      <c r="N19" t="s">
        <v>21</v>
      </c>
      <c r="O19" t="s">
        <v>22</v>
      </c>
      <c r="P19" t="s">
        <v>23</v>
      </c>
    </row>
    <row r="20" spans="1:16" x14ac:dyDescent="0.3">
      <c r="A20" t="s">
        <v>75</v>
      </c>
      <c r="B20" t="s">
        <v>76</v>
      </c>
      <c r="C20" s="1">
        <v>45163</v>
      </c>
      <c r="D20" s="1">
        <v>45163</v>
      </c>
      <c r="E20">
        <v>1450</v>
      </c>
      <c r="F20">
        <v>1450</v>
      </c>
      <c r="G20">
        <v>0</v>
      </c>
      <c r="H20">
        <v>0</v>
      </c>
      <c r="I20" t="s">
        <v>77</v>
      </c>
      <c r="J20" t="s">
        <v>78</v>
      </c>
      <c r="K20" t="s">
        <v>19</v>
      </c>
      <c r="L20" t="s">
        <v>20</v>
      </c>
      <c r="M20">
        <v>95</v>
      </c>
      <c r="N20" t="s">
        <v>21</v>
      </c>
      <c r="O20" t="s">
        <v>22</v>
      </c>
      <c r="P20" t="s">
        <v>23</v>
      </c>
    </row>
    <row r="21" spans="1:16" x14ac:dyDescent="0.3">
      <c r="A21" t="s">
        <v>79</v>
      </c>
      <c r="B21" t="s">
        <v>80</v>
      </c>
      <c r="C21" s="1">
        <v>45163</v>
      </c>
      <c r="D21" s="1">
        <v>45163</v>
      </c>
      <c r="E21">
        <v>120</v>
      </c>
      <c r="F21">
        <v>120</v>
      </c>
      <c r="G21">
        <v>0</v>
      </c>
      <c r="H21">
        <v>0</v>
      </c>
      <c r="I21" t="s">
        <v>81</v>
      </c>
      <c r="J21" t="s">
        <v>82</v>
      </c>
      <c r="K21" t="s">
        <v>19</v>
      </c>
      <c r="L21" t="s">
        <v>20</v>
      </c>
      <c r="M21">
        <v>95</v>
      </c>
      <c r="N21" t="s">
        <v>21</v>
      </c>
      <c r="O21" t="s">
        <v>22</v>
      </c>
      <c r="P21" t="s">
        <v>23</v>
      </c>
    </row>
    <row r="22" spans="1:16" x14ac:dyDescent="0.3">
      <c r="A22" t="s">
        <v>83</v>
      </c>
      <c r="B22" t="s">
        <v>84</v>
      </c>
      <c r="C22" s="1">
        <v>45163</v>
      </c>
      <c r="D22" s="1">
        <v>45163</v>
      </c>
      <c r="E22">
        <v>480</v>
      </c>
      <c r="F22">
        <v>480</v>
      </c>
      <c r="G22">
        <v>0</v>
      </c>
      <c r="H22">
        <v>0</v>
      </c>
      <c r="I22" t="s">
        <v>85</v>
      </c>
      <c r="J22" t="s">
        <v>86</v>
      </c>
      <c r="K22" t="s">
        <v>19</v>
      </c>
      <c r="L22" t="s">
        <v>20</v>
      </c>
      <c r="M22">
        <v>95</v>
      </c>
      <c r="N22" t="s">
        <v>21</v>
      </c>
      <c r="O22" t="s">
        <v>22</v>
      </c>
      <c r="P22" t="s">
        <v>23</v>
      </c>
    </row>
    <row r="23" spans="1:16" x14ac:dyDescent="0.3">
      <c r="A23" t="s">
        <v>87</v>
      </c>
      <c r="B23" t="s">
        <v>88</v>
      </c>
      <c r="C23" s="1">
        <v>45163</v>
      </c>
      <c r="D23" s="1">
        <v>45163</v>
      </c>
      <c r="E23">
        <v>1</v>
      </c>
      <c r="F23">
        <v>1</v>
      </c>
      <c r="G23">
        <v>0</v>
      </c>
      <c r="H23">
        <v>0</v>
      </c>
      <c r="I23" t="s">
        <v>89</v>
      </c>
      <c r="J23" t="s">
        <v>90</v>
      </c>
      <c r="K23" t="s">
        <v>91</v>
      </c>
      <c r="L23" t="s">
        <v>92</v>
      </c>
      <c r="M23">
        <v>85</v>
      </c>
      <c r="N23" t="s">
        <v>93</v>
      </c>
      <c r="O23" t="s">
        <v>22</v>
      </c>
      <c r="P23" t="s">
        <v>23</v>
      </c>
    </row>
    <row r="24" spans="1:16" x14ac:dyDescent="0.3">
      <c r="A24" t="s">
        <v>94</v>
      </c>
      <c r="B24" t="s">
        <v>95</v>
      </c>
      <c r="C24" s="1">
        <v>45163</v>
      </c>
      <c r="D24" s="1">
        <v>45163</v>
      </c>
      <c r="E24">
        <v>1</v>
      </c>
      <c r="F24">
        <v>1</v>
      </c>
      <c r="G24">
        <v>0</v>
      </c>
      <c r="H24">
        <v>0</v>
      </c>
      <c r="I24" t="s">
        <v>96</v>
      </c>
      <c r="J24" t="s">
        <v>97</v>
      </c>
      <c r="K24" t="s">
        <v>91</v>
      </c>
      <c r="L24" t="s">
        <v>92</v>
      </c>
      <c r="M24">
        <v>85</v>
      </c>
      <c r="N24" t="s">
        <v>93</v>
      </c>
      <c r="O24" t="s">
        <v>22</v>
      </c>
      <c r="P24" t="s">
        <v>23</v>
      </c>
    </row>
    <row r="25" spans="1:16" x14ac:dyDescent="0.3">
      <c r="A25" t="s">
        <v>98</v>
      </c>
      <c r="B25" t="s">
        <v>99</v>
      </c>
      <c r="C25" s="1">
        <v>45163</v>
      </c>
      <c r="D25" s="1">
        <v>45163</v>
      </c>
      <c r="E25">
        <v>1</v>
      </c>
      <c r="F25">
        <v>1</v>
      </c>
      <c r="G25">
        <v>0</v>
      </c>
      <c r="H25">
        <v>0</v>
      </c>
      <c r="I25" t="s">
        <v>100</v>
      </c>
      <c r="J25" t="s">
        <v>101</v>
      </c>
      <c r="K25" t="s">
        <v>19</v>
      </c>
      <c r="L25" t="s">
        <v>20</v>
      </c>
      <c r="M25">
        <v>95</v>
      </c>
      <c r="N25" t="s">
        <v>21</v>
      </c>
      <c r="O25" t="s">
        <v>22</v>
      </c>
      <c r="P25" t="s">
        <v>23</v>
      </c>
    </row>
    <row r="26" spans="1:16" x14ac:dyDescent="0.3">
      <c r="A26" t="s">
        <v>102</v>
      </c>
      <c r="B26" t="s">
        <v>103</v>
      </c>
      <c r="C26" s="1">
        <v>45163</v>
      </c>
      <c r="D26" s="1">
        <v>45163</v>
      </c>
      <c r="E26">
        <v>21</v>
      </c>
      <c r="F26">
        <v>21</v>
      </c>
      <c r="G26">
        <v>0</v>
      </c>
      <c r="H26">
        <v>0</v>
      </c>
      <c r="I26" t="s">
        <v>104</v>
      </c>
      <c r="J26" t="s">
        <v>105</v>
      </c>
      <c r="K26" t="s">
        <v>19</v>
      </c>
      <c r="L26" t="s">
        <v>20</v>
      </c>
      <c r="M26">
        <v>95</v>
      </c>
      <c r="N26" t="s">
        <v>21</v>
      </c>
      <c r="O26" t="s">
        <v>22</v>
      </c>
      <c r="P26" t="s">
        <v>23</v>
      </c>
    </row>
    <row r="27" spans="1:16" x14ac:dyDescent="0.3">
      <c r="A27" t="s">
        <v>106</v>
      </c>
      <c r="B27" t="s">
        <v>107</v>
      </c>
      <c r="C27" s="1">
        <v>45163</v>
      </c>
      <c r="D27" s="1">
        <v>45163</v>
      </c>
      <c r="E27">
        <v>1</v>
      </c>
      <c r="F27">
        <v>1</v>
      </c>
      <c r="G27">
        <v>0</v>
      </c>
      <c r="H27">
        <v>0</v>
      </c>
      <c r="I27" t="s">
        <v>108</v>
      </c>
      <c r="J27" t="s">
        <v>109</v>
      </c>
      <c r="K27" t="s">
        <v>19</v>
      </c>
      <c r="L27" t="s">
        <v>110</v>
      </c>
      <c r="M27">
        <v>100</v>
      </c>
      <c r="N27" t="s">
        <v>21</v>
      </c>
      <c r="O27" t="s">
        <v>22</v>
      </c>
      <c r="P27" t="s">
        <v>23</v>
      </c>
    </row>
    <row r="28" spans="1:16" x14ac:dyDescent="0.3">
      <c r="A28" t="s">
        <v>111</v>
      </c>
      <c r="B28" t="s">
        <v>112</v>
      </c>
      <c r="C28" s="1">
        <v>45163</v>
      </c>
      <c r="D28" s="1">
        <v>45163</v>
      </c>
      <c r="E28">
        <v>1000</v>
      </c>
      <c r="F28">
        <v>1000</v>
      </c>
      <c r="G28">
        <v>0</v>
      </c>
      <c r="H28">
        <v>0</v>
      </c>
      <c r="I28" t="s">
        <v>73</v>
      </c>
      <c r="J28" t="s">
        <v>74</v>
      </c>
      <c r="K28" t="s">
        <v>19</v>
      </c>
      <c r="L28" t="s">
        <v>20</v>
      </c>
      <c r="M28">
        <v>95</v>
      </c>
      <c r="N28" t="s">
        <v>21</v>
      </c>
      <c r="O28" t="s">
        <v>22</v>
      </c>
      <c r="P28" t="s">
        <v>23</v>
      </c>
    </row>
    <row r="29" spans="1:16" x14ac:dyDescent="0.3">
      <c r="A29" t="s">
        <v>113</v>
      </c>
      <c r="B29" t="s">
        <v>114</v>
      </c>
      <c r="C29" s="1">
        <v>45163</v>
      </c>
      <c r="D29" s="1">
        <v>45163</v>
      </c>
      <c r="E29">
        <v>30</v>
      </c>
      <c r="F29">
        <v>30</v>
      </c>
      <c r="G29">
        <v>0</v>
      </c>
      <c r="H29">
        <v>0</v>
      </c>
      <c r="I29" t="s">
        <v>115</v>
      </c>
      <c r="J29" t="s">
        <v>116</v>
      </c>
      <c r="K29" t="s">
        <v>19</v>
      </c>
      <c r="L29" t="s">
        <v>20</v>
      </c>
      <c r="M29">
        <v>95</v>
      </c>
      <c r="N29" t="s">
        <v>21</v>
      </c>
      <c r="O29" t="s">
        <v>22</v>
      </c>
      <c r="P29" t="s">
        <v>23</v>
      </c>
    </row>
    <row r="30" spans="1:16" x14ac:dyDescent="0.3">
      <c r="A30" t="s">
        <v>117</v>
      </c>
      <c r="B30" t="s">
        <v>118</v>
      </c>
      <c r="C30" s="1">
        <v>45163</v>
      </c>
      <c r="D30" s="1">
        <v>45163</v>
      </c>
      <c r="E30">
        <v>51</v>
      </c>
      <c r="F30">
        <v>51</v>
      </c>
      <c r="G30">
        <v>0</v>
      </c>
      <c r="H30">
        <v>0</v>
      </c>
      <c r="I30" t="s">
        <v>89</v>
      </c>
      <c r="J30" t="s">
        <v>90</v>
      </c>
      <c r="K30" t="s">
        <v>19</v>
      </c>
      <c r="L30" t="s">
        <v>20</v>
      </c>
      <c r="M30">
        <v>95</v>
      </c>
      <c r="N30" t="s">
        <v>21</v>
      </c>
      <c r="O30" t="s">
        <v>22</v>
      </c>
      <c r="P30" t="s">
        <v>23</v>
      </c>
    </row>
    <row r="31" spans="1:16" x14ac:dyDescent="0.3">
      <c r="A31" t="s">
        <v>119</v>
      </c>
      <c r="B31" t="s">
        <v>120</v>
      </c>
      <c r="C31" s="1">
        <v>45164</v>
      </c>
      <c r="D31" s="1">
        <v>45164</v>
      </c>
      <c r="E31">
        <v>1</v>
      </c>
      <c r="F31">
        <v>1</v>
      </c>
      <c r="G31">
        <v>0</v>
      </c>
      <c r="H31">
        <v>0</v>
      </c>
      <c r="I31" t="s">
        <v>81</v>
      </c>
      <c r="J31" t="s">
        <v>82</v>
      </c>
      <c r="K31" t="s">
        <v>19</v>
      </c>
      <c r="L31" t="s">
        <v>20</v>
      </c>
      <c r="M31">
        <v>95</v>
      </c>
      <c r="N31" t="s">
        <v>21</v>
      </c>
      <c r="O31" t="s">
        <v>22</v>
      </c>
      <c r="P31" t="s">
        <v>23</v>
      </c>
    </row>
    <row r="32" spans="1:16" x14ac:dyDescent="0.3">
      <c r="A32" t="s">
        <v>121</v>
      </c>
      <c r="B32" t="s">
        <v>122</v>
      </c>
      <c r="C32" s="1">
        <v>45164</v>
      </c>
      <c r="D32" s="1">
        <v>45164</v>
      </c>
      <c r="E32">
        <v>500</v>
      </c>
      <c r="F32">
        <v>500</v>
      </c>
      <c r="G32">
        <v>0</v>
      </c>
      <c r="H32">
        <v>0</v>
      </c>
      <c r="I32" t="s">
        <v>123</v>
      </c>
      <c r="J32" t="s">
        <v>124</v>
      </c>
      <c r="K32" t="s">
        <v>91</v>
      </c>
      <c r="L32" t="s">
        <v>92</v>
      </c>
      <c r="M32">
        <v>85</v>
      </c>
      <c r="N32" t="s">
        <v>93</v>
      </c>
      <c r="O32" t="s">
        <v>22</v>
      </c>
      <c r="P32" t="s">
        <v>23</v>
      </c>
    </row>
    <row r="33" spans="1:16" x14ac:dyDescent="0.3">
      <c r="A33" t="s">
        <v>125</v>
      </c>
      <c r="B33" t="s">
        <v>126</v>
      </c>
      <c r="C33" s="1">
        <v>45164</v>
      </c>
      <c r="D33" s="1">
        <v>45164</v>
      </c>
      <c r="E33">
        <v>500</v>
      </c>
      <c r="F33">
        <v>500</v>
      </c>
      <c r="G33">
        <v>0</v>
      </c>
      <c r="H33">
        <v>0</v>
      </c>
      <c r="I33" t="s">
        <v>127</v>
      </c>
      <c r="J33" t="s">
        <v>128</v>
      </c>
      <c r="K33" t="s">
        <v>19</v>
      </c>
      <c r="L33" t="s">
        <v>20</v>
      </c>
      <c r="M33">
        <v>95</v>
      </c>
      <c r="N33" t="s">
        <v>21</v>
      </c>
      <c r="O33" t="s">
        <v>22</v>
      </c>
      <c r="P33" t="s">
        <v>23</v>
      </c>
    </row>
    <row r="34" spans="1:16" x14ac:dyDescent="0.3">
      <c r="A34" t="s">
        <v>129</v>
      </c>
      <c r="B34" t="s">
        <v>130</v>
      </c>
      <c r="C34" s="1">
        <v>45164</v>
      </c>
      <c r="D34" s="1">
        <v>45164</v>
      </c>
      <c r="E34">
        <v>700</v>
      </c>
      <c r="F34">
        <v>700</v>
      </c>
      <c r="G34">
        <v>0</v>
      </c>
      <c r="H34">
        <v>0</v>
      </c>
      <c r="I34" t="s">
        <v>131</v>
      </c>
      <c r="J34" t="s">
        <v>132</v>
      </c>
      <c r="K34" t="s">
        <v>19</v>
      </c>
      <c r="L34" t="s">
        <v>20</v>
      </c>
      <c r="M34">
        <v>95</v>
      </c>
      <c r="N34" t="s">
        <v>21</v>
      </c>
      <c r="O34" t="s">
        <v>22</v>
      </c>
      <c r="P34" t="s">
        <v>23</v>
      </c>
    </row>
    <row r="35" spans="1:16" x14ac:dyDescent="0.3">
      <c r="A35" t="s">
        <v>133</v>
      </c>
      <c r="B35" t="s">
        <v>134</v>
      </c>
      <c r="C35" s="1">
        <v>45164</v>
      </c>
      <c r="D35" s="1">
        <v>45164</v>
      </c>
      <c r="E35">
        <v>60</v>
      </c>
      <c r="F35">
        <v>60</v>
      </c>
      <c r="G35">
        <v>0</v>
      </c>
      <c r="H35">
        <v>0</v>
      </c>
      <c r="I35" t="s">
        <v>81</v>
      </c>
      <c r="J35" t="s">
        <v>82</v>
      </c>
      <c r="K35" t="s">
        <v>19</v>
      </c>
      <c r="L35" t="s">
        <v>20</v>
      </c>
      <c r="M35">
        <v>95</v>
      </c>
      <c r="N35" t="s">
        <v>21</v>
      </c>
      <c r="O35" t="s">
        <v>22</v>
      </c>
      <c r="P35" t="s">
        <v>23</v>
      </c>
    </row>
    <row r="36" spans="1:16" x14ac:dyDescent="0.3">
      <c r="A36" t="s">
        <v>135</v>
      </c>
      <c r="B36" t="s">
        <v>136</v>
      </c>
      <c r="C36" s="1">
        <v>45164</v>
      </c>
      <c r="D36" s="1">
        <v>45164</v>
      </c>
      <c r="E36">
        <v>20</v>
      </c>
      <c r="F36">
        <v>20</v>
      </c>
      <c r="G36">
        <v>0</v>
      </c>
      <c r="H36">
        <v>0</v>
      </c>
      <c r="I36" t="s">
        <v>81</v>
      </c>
      <c r="J36" t="s">
        <v>82</v>
      </c>
      <c r="K36" t="s">
        <v>19</v>
      </c>
      <c r="L36" t="s">
        <v>20</v>
      </c>
      <c r="M36">
        <v>95</v>
      </c>
      <c r="N36" t="s">
        <v>21</v>
      </c>
      <c r="O36" t="s">
        <v>22</v>
      </c>
      <c r="P36" t="s">
        <v>23</v>
      </c>
    </row>
    <row r="37" spans="1:16" x14ac:dyDescent="0.3">
      <c r="A37" t="s">
        <v>137</v>
      </c>
      <c r="B37" t="s">
        <v>138</v>
      </c>
      <c r="C37" s="1">
        <v>45165</v>
      </c>
      <c r="D37" s="1">
        <v>45165</v>
      </c>
      <c r="E37">
        <v>1</v>
      </c>
      <c r="F37">
        <v>1</v>
      </c>
      <c r="G37">
        <v>0</v>
      </c>
      <c r="H37">
        <v>0</v>
      </c>
      <c r="I37" t="s">
        <v>139</v>
      </c>
      <c r="J37" t="s">
        <v>140</v>
      </c>
      <c r="K37" t="s">
        <v>19</v>
      </c>
      <c r="L37" t="s">
        <v>20</v>
      </c>
      <c r="M37">
        <v>95</v>
      </c>
      <c r="N37" t="s">
        <v>21</v>
      </c>
      <c r="O37" t="s">
        <v>22</v>
      </c>
      <c r="P37" t="s">
        <v>23</v>
      </c>
    </row>
    <row r="38" spans="1:16" x14ac:dyDescent="0.3">
      <c r="A38" t="s">
        <v>141</v>
      </c>
      <c r="B38" t="s">
        <v>142</v>
      </c>
      <c r="C38" s="1">
        <v>45165</v>
      </c>
      <c r="D38" s="1">
        <v>45165</v>
      </c>
      <c r="E38">
        <v>1499</v>
      </c>
      <c r="F38">
        <v>1499</v>
      </c>
      <c r="G38">
        <v>0</v>
      </c>
      <c r="H38">
        <v>0</v>
      </c>
      <c r="I38" t="s">
        <v>143</v>
      </c>
      <c r="J38" t="s">
        <v>144</v>
      </c>
      <c r="K38" t="s">
        <v>19</v>
      </c>
      <c r="L38" t="s">
        <v>20</v>
      </c>
      <c r="M38">
        <v>95</v>
      </c>
      <c r="N38" t="s">
        <v>21</v>
      </c>
      <c r="O38" t="s">
        <v>22</v>
      </c>
      <c r="P38" t="s">
        <v>23</v>
      </c>
    </row>
    <row r="39" spans="1:16" x14ac:dyDescent="0.3">
      <c r="A39" t="s">
        <v>145</v>
      </c>
      <c r="B39" t="s">
        <v>146</v>
      </c>
      <c r="C39" s="1">
        <v>45165</v>
      </c>
      <c r="D39" s="1">
        <v>45165</v>
      </c>
      <c r="E39">
        <v>240</v>
      </c>
      <c r="F39">
        <v>240</v>
      </c>
      <c r="G39">
        <v>0</v>
      </c>
      <c r="H39">
        <v>0</v>
      </c>
      <c r="I39" t="s">
        <v>147</v>
      </c>
      <c r="J39" t="s">
        <v>148</v>
      </c>
      <c r="K39" t="s">
        <v>19</v>
      </c>
      <c r="L39" t="s">
        <v>20</v>
      </c>
      <c r="M39">
        <v>95</v>
      </c>
      <c r="N39" t="s">
        <v>21</v>
      </c>
      <c r="O39" t="s">
        <v>22</v>
      </c>
      <c r="P39" t="s">
        <v>23</v>
      </c>
    </row>
    <row r="40" spans="1:16" x14ac:dyDescent="0.3">
      <c r="A40" t="s">
        <v>149</v>
      </c>
      <c r="B40" t="s">
        <v>150</v>
      </c>
      <c r="C40" s="1">
        <v>45166</v>
      </c>
      <c r="D40" s="1">
        <v>45166</v>
      </c>
      <c r="E40">
        <v>850</v>
      </c>
      <c r="F40">
        <v>850</v>
      </c>
      <c r="G40">
        <v>0</v>
      </c>
      <c r="H40">
        <v>0</v>
      </c>
      <c r="I40" t="s">
        <v>89</v>
      </c>
      <c r="J40" t="s">
        <v>90</v>
      </c>
      <c r="K40" t="s">
        <v>19</v>
      </c>
      <c r="L40" t="s">
        <v>20</v>
      </c>
      <c r="M40">
        <v>95</v>
      </c>
      <c r="N40" t="s">
        <v>21</v>
      </c>
      <c r="O40" t="s">
        <v>22</v>
      </c>
      <c r="P40" t="s">
        <v>23</v>
      </c>
    </row>
    <row r="41" spans="1:16" x14ac:dyDescent="0.3">
      <c r="A41" t="s">
        <v>151</v>
      </c>
      <c r="B41" t="s">
        <v>152</v>
      </c>
      <c r="C41" s="1">
        <v>45166</v>
      </c>
      <c r="D41" s="1">
        <v>45166</v>
      </c>
      <c r="E41">
        <v>10</v>
      </c>
      <c r="F41">
        <v>10</v>
      </c>
      <c r="G41">
        <v>0</v>
      </c>
      <c r="H41">
        <v>0</v>
      </c>
      <c r="I41" t="s">
        <v>153</v>
      </c>
      <c r="J41" t="s">
        <v>153</v>
      </c>
      <c r="K41" t="s">
        <v>19</v>
      </c>
      <c r="L41" t="s">
        <v>20</v>
      </c>
      <c r="M41">
        <v>95</v>
      </c>
      <c r="N41" t="s">
        <v>21</v>
      </c>
      <c r="O41" t="s">
        <v>22</v>
      </c>
      <c r="P41" t="s">
        <v>23</v>
      </c>
    </row>
    <row r="42" spans="1:16" x14ac:dyDescent="0.3">
      <c r="A42" t="s">
        <v>154</v>
      </c>
      <c r="B42" t="s">
        <v>155</v>
      </c>
      <c r="C42" s="1">
        <v>45167</v>
      </c>
      <c r="D42" s="1">
        <v>45167</v>
      </c>
      <c r="E42">
        <v>1200</v>
      </c>
      <c r="F42">
        <v>1200</v>
      </c>
      <c r="G42">
        <v>0</v>
      </c>
      <c r="H42">
        <v>0</v>
      </c>
      <c r="I42" t="s">
        <v>156</v>
      </c>
      <c r="J42" t="s">
        <v>157</v>
      </c>
      <c r="K42" t="s">
        <v>19</v>
      </c>
      <c r="L42" t="s">
        <v>20</v>
      </c>
      <c r="M42">
        <v>95</v>
      </c>
      <c r="N42" t="s">
        <v>21</v>
      </c>
      <c r="O42" t="s">
        <v>22</v>
      </c>
      <c r="P42" t="s">
        <v>23</v>
      </c>
    </row>
    <row r="43" spans="1:16" x14ac:dyDescent="0.3">
      <c r="A43" t="s">
        <v>158</v>
      </c>
      <c r="B43" t="s">
        <v>159</v>
      </c>
      <c r="C43" s="1">
        <v>45167</v>
      </c>
      <c r="D43" s="1">
        <v>45167</v>
      </c>
      <c r="E43">
        <v>600</v>
      </c>
      <c r="F43">
        <v>600</v>
      </c>
      <c r="G43">
        <v>0</v>
      </c>
      <c r="H43">
        <v>0</v>
      </c>
      <c r="I43" t="s">
        <v>89</v>
      </c>
      <c r="J43" t="s">
        <v>90</v>
      </c>
      <c r="K43" t="s">
        <v>19</v>
      </c>
      <c r="L43" t="s">
        <v>20</v>
      </c>
      <c r="M43">
        <v>95</v>
      </c>
      <c r="N43" t="s">
        <v>21</v>
      </c>
      <c r="O43" t="s">
        <v>22</v>
      </c>
      <c r="P43" t="s">
        <v>23</v>
      </c>
    </row>
    <row r="44" spans="1:16" x14ac:dyDescent="0.3">
      <c r="A44" t="s">
        <v>160</v>
      </c>
      <c r="B44" t="s">
        <v>161</v>
      </c>
      <c r="C44" s="1">
        <v>45167</v>
      </c>
      <c r="D44" s="1"/>
      <c r="E44">
        <v>100</v>
      </c>
      <c r="I44" t="s">
        <v>156</v>
      </c>
      <c r="J44" t="s">
        <v>161</v>
      </c>
      <c r="K44" t="s">
        <v>162</v>
      </c>
      <c r="L44" t="s">
        <v>163</v>
      </c>
      <c r="M44">
        <v>0</v>
      </c>
      <c r="N44" t="s">
        <v>164</v>
      </c>
      <c r="O44" t="s">
        <v>22</v>
      </c>
      <c r="P44" t="s">
        <v>23</v>
      </c>
    </row>
    <row r="45" spans="1:16" x14ac:dyDescent="0.3">
      <c r="A45" t="s">
        <v>165</v>
      </c>
      <c r="B45" t="s">
        <v>166</v>
      </c>
      <c r="C45" s="1">
        <v>45168</v>
      </c>
      <c r="D45" s="1">
        <v>45168</v>
      </c>
      <c r="E45">
        <v>15</v>
      </c>
      <c r="F45">
        <v>15</v>
      </c>
      <c r="G45">
        <v>0</v>
      </c>
      <c r="H45">
        <v>0</v>
      </c>
      <c r="I45" t="s">
        <v>167</v>
      </c>
      <c r="J45" t="s">
        <v>168</v>
      </c>
      <c r="K45" t="s">
        <v>19</v>
      </c>
      <c r="L45" t="s">
        <v>20</v>
      </c>
      <c r="M45">
        <v>95</v>
      </c>
      <c r="N45" t="s">
        <v>21</v>
      </c>
      <c r="O45" t="s">
        <v>22</v>
      </c>
      <c r="P45" t="s">
        <v>23</v>
      </c>
    </row>
    <row r="46" spans="1:16" x14ac:dyDescent="0.3">
      <c r="A46" t="s">
        <v>169</v>
      </c>
      <c r="B46" t="s">
        <v>170</v>
      </c>
      <c r="C46" s="1">
        <v>45168</v>
      </c>
      <c r="D46" s="1">
        <v>45168</v>
      </c>
      <c r="E46">
        <v>600</v>
      </c>
      <c r="F46">
        <v>600</v>
      </c>
      <c r="G46">
        <v>0</v>
      </c>
      <c r="H46">
        <v>0</v>
      </c>
      <c r="I46" t="s">
        <v>89</v>
      </c>
      <c r="J46" t="s">
        <v>90</v>
      </c>
      <c r="K46" t="s">
        <v>19</v>
      </c>
      <c r="L46" t="s">
        <v>20</v>
      </c>
      <c r="M46">
        <v>95</v>
      </c>
      <c r="N46" t="s">
        <v>21</v>
      </c>
      <c r="O46" t="s">
        <v>22</v>
      </c>
      <c r="P46" t="s">
        <v>23</v>
      </c>
    </row>
    <row r="47" spans="1:16" x14ac:dyDescent="0.3">
      <c r="A47" t="s">
        <v>171</v>
      </c>
      <c r="B47" t="s">
        <v>172</v>
      </c>
      <c r="C47" s="1">
        <v>45168</v>
      </c>
      <c r="D47" s="1">
        <v>45168</v>
      </c>
      <c r="E47">
        <v>170</v>
      </c>
      <c r="F47">
        <v>170</v>
      </c>
      <c r="G47">
        <v>0</v>
      </c>
      <c r="H47">
        <v>0</v>
      </c>
      <c r="I47" t="s">
        <v>89</v>
      </c>
      <c r="J47" t="s">
        <v>90</v>
      </c>
      <c r="K47" t="s">
        <v>19</v>
      </c>
      <c r="L47" t="s">
        <v>20</v>
      </c>
      <c r="M47">
        <v>95</v>
      </c>
      <c r="N47" t="s">
        <v>21</v>
      </c>
      <c r="O47" t="s">
        <v>22</v>
      </c>
      <c r="P47" t="s">
        <v>23</v>
      </c>
    </row>
    <row r="48" spans="1:16" x14ac:dyDescent="0.3">
      <c r="A48" t="s">
        <v>173</v>
      </c>
      <c r="B48" t="s">
        <v>174</v>
      </c>
      <c r="C48" s="1">
        <v>45169</v>
      </c>
      <c r="D48" s="1">
        <v>45169</v>
      </c>
      <c r="E48">
        <v>350</v>
      </c>
      <c r="F48">
        <v>350</v>
      </c>
      <c r="G48">
        <v>0</v>
      </c>
      <c r="H48">
        <v>0</v>
      </c>
      <c r="I48" t="s">
        <v>108</v>
      </c>
      <c r="J48" t="s">
        <v>109</v>
      </c>
      <c r="K48" t="s">
        <v>19</v>
      </c>
      <c r="L48" t="s">
        <v>110</v>
      </c>
      <c r="M48">
        <v>100</v>
      </c>
      <c r="N48" t="s">
        <v>21</v>
      </c>
      <c r="O48" t="s">
        <v>22</v>
      </c>
      <c r="P48" t="s">
        <v>23</v>
      </c>
    </row>
    <row r="49" spans="1:16" x14ac:dyDescent="0.3">
      <c r="A49" t="s">
        <v>175</v>
      </c>
      <c r="B49" t="s">
        <v>176</v>
      </c>
      <c r="C49" s="1">
        <v>45169</v>
      </c>
      <c r="D49" s="1">
        <v>45169</v>
      </c>
      <c r="E49">
        <v>750</v>
      </c>
      <c r="F49">
        <v>750</v>
      </c>
      <c r="G49">
        <v>0</v>
      </c>
      <c r="H49">
        <v>0</v>
      </c>
      <c r="I49" t="s">
        <v>89</v>
      </c>
      <c r="J49" t="s">
        <v>90</v>
      </c>
      <c r="K49" t="s">
        <v>19</v>
      </c>
      <c r="L49" t="s">
        <v>20</v>
      </c>
      <c r="M49">
        <v>95</v>
      </c>
      <c r="N49" t="s">
        <v>21</v>
      </c>
      <c r="O49" t="s">
        <v>22</v>
      </c>
      <c r="P49" t="s">
        <v>23</v>
      </c>
    </row>
    <row r="50" spans="1:16" x14ac:dyDescent="0.3">
      <c r="A50" t="s">
        <v>177</v>
      </c>
      <c r="B50" t="s">
        <v>178</v>
      </c>
      <c r="C50" s="1">
        <v>45169</v>
      </c>
      <c r="D50" s="1">
        <v>45169</v>
      </c>
      <c r="E50">
        <v>1200</v>
      </c>
      <c r="F50">
        <v>1200</v>
      </c>
      <c r="G50">
        <v>0</v>
      </c>
      <c r="H50">
        <v>0</v>
      </c>
      <c r="I50" t="s">
        <v>179</v>
      </c>
      <c r="J50" t="s">
        <v>180</v>
      </c>
      <c r="K50" t="s">
        <v>19</v>
      </c>
      <c r="L50" t="s">
        <v>20</v>
      </c>
      <c r="M50">
        <v>95</v>
      </c>
      <c r="N50" t="s">
        <v>21</v>
      </c>
      <c r="O50" t="s">
        <v>22</v>
      </c>
      <c r="P50" t="s">
        <v>23</v>
      </c>
    </row>
    <row r="51" spans="1:16" x14ac:dyDescent="0.3">
      <c r="A51" t="s">
        <v>181</v>
      </c>
      <c r="B51" t="s">
        <v>182</v>
      </c>
      <c r="C51" s="1">
        <v>45169</v>
      </c>
      <c r="D51" s="1">
        <v>45169</v>
      </c>
      <c r="E51">
        <v>200</v>
      </c>
      <c r="F51">
        <v>200</v>
      </c>
      <c r="G51">
        <v>0</v>
      </c>
      <c r="H51">
        <v>0</v>
      </c>
      <c r="I51" t="s">
        <v>183</v>
      </c>
      <c r="J51" t="s">
        <v>184</v>
      </c>
      <c r="K51" t="s">
        <v>19</v>
      </c>
      <c r="L51" t="s">
        <v>20</v>
      </c>
      <c r="M51">
        <v>95</v>
      </c>
      <c r="N51" t="s">
        <v>21</v>
      </c>
      <c r="O51" t="s">
        <v>22</v>
      </c>
      <c r="P51" t="s">
        <v>23</v>
      </c>
    </row>
    <row r="52" spans="1:16" x14ac:dyDescent="0.3">
      <c r="A52" t="s">
        <v>185</v>
      </c>
      <c r="B52" t="s">
        <v>186</v>
      </c>
      <c r="C52" s="1">
        <v>45169</v>
      </c>
      <c r="D52" s="1">
        <v>45169</v>
      </c>
      <c r="E52">
        <v>50</v>
      </c>
      <c r="F52">
        <v>50</v>
      </c>
      <c r="G52">
        <v>0</v>
      </c>
      <c r="H52">
        <v>0</v>
      </c>
      <c r="I52" t="s">
        <v>183</v>
      </c>
      <c r="J52" t="s">
        <v>184</v>
      </c>
      <c r="K52" t="s">
        <v>19</v>
      </c>
      <c r="L52" t="s">
        <v>20</v>
      </c>
      <c r="M52">
        <v>95</v>
      </c>
      <c r="N52" t="s">
        <v>21</v>
      </c>
      <c r="O52" t="s">
        <v>22</v>
      </c>
      <c r="P52" t="s">
        <v>23</v>
      </c>
    </row>
    <row r="53" spans="1:16" x14ac:dyDescent="0.3">
      <c r="A53" t="s">
        <v>187</v>
      </c>
      <c r="B53" t="s">
        <v>188</v>
      </c>
      <c r="C53" s="1">
        <v>45170</v>
      </c>
      <c r="D53" s="1">
        <v>45170</v>
      </c>
      <c r="E53">
        <v>3500</v>
      </c>
      <c r="F53">
        <v>3500</v>
      </c>
      <c r="G53">
        <v>0</v>
      </c>
      <c r="H53">
        <v>0</v>
      </c>
      <c r="I53" t="s">
        <v>189</v>
      </c>
      <c r="J53" t="s">
        <v>190</v>
      </c>
      <c r="K53" t="s">
        <v>19</v>
      </c>
      <c r="L53" t="s">
        <v>20</v>
      </c>
      <c r="M53">
        <v>95</v>
      </c>
      <c r="N53" t="s">
        <v>21</v>
      </c>
      <c r="O53" t="s">
        <v>22</v>
      </c>
      <c r="P53" t="s">
        <v>23</v>
      </c>
    </row>
    <row r="54" spans="1:16" x14ac:dyDescent="0.3">
      <c r="A54" t="s">
        <v>191</v>
      </c>
      <c r="B54" t="s">
        <v>192</v>
      </c>
      <c r="C54" s="1">
        <v>45172</v>
      </c>
      <c r="D54" s="1">
        <v>45172</v>
      </c>
      <c r="E54">
        <v>34</v>
      </c>
      <c r="F54">
        <v>34</v>
      </c>
      <c r="G54">
        <v>0</v>
      </c>
      <c r="H54">
        <v>0</v>
      </c>
      <c r="I54" t="s">
        <v>193</v>
      </c>
      <c r="J54" t="s">
        <v>194</v>
      </c>
      <c r="K54" t="s">
        <v>19</v>
      </c>
      <c r="L54" t="s">
        <v>20</v>
      </c>
      <c r="M54">
        <v>95</v>
      </c>
      <c r="N54" t="s">
        <v>21</v>
      </c>
      <c r="O54" t="s">
        <v>22</v>
      </c>
      <c r="P54" t="s">
        <v>23</v>
      </c>
    </row>
    <row r="55" spans="1:16" x14ac:dyDescent="0.3">
      <c r="A55" t="s">
        <v>195</v>
      </c>
      <c r="B55" t="s">
        <v>196</v>
      </c>
      <c r="C55" s="1">
        <v>45173</v>
      </c>
      <c r="D55" s="1">
        <v>45173</v>
      </c>
      <c r="E55">
        <v>460</v>
      </c>
      <c r="F55">
        <v>460</v>
      </c>
      <c r="G55">
        <v>0</v>
      </c>
      <c r="H55">
        <v>0</v>
      </c>
      <c r="I55" t="s">
        <v>197</v>
      </c>
      <c r="J55" t="s">
        <v>198</v>
      </c>
      <c r="K55" t="s">
        <v>19</v>
      </c>
      <c r="L55" t="s">
        <v>20</v>
      </c>
      <c r="M55">
        <v>95</v>
      </c>
      <c r="N55" t="s">
        <v>21</v>
      </c>
      <c r="O55" t="s">
        <v>22</v>
      </c>
      <c r="P55" t="s">
        <v>23</v>
      </c>
    </row>
    <row r="56" spans="1:16" x14ac:dyDescent="0.3">
      <c r="A56" t="s">
        <v>199</v>
      </c>
      <c r="B56" t="s">
        <v>200</v>
      </c>
      <c r="C56" s="1">
        <v>45173</v>
      </c>
      <c r="D56" s="1">
        <v>45173</v>
      </c>
      <c r="E56">
        <v>200</v>
      </c>
      <c r="F56">
        <v>200</v>
      </c>
      <c r="G56">
        <v>0</v>
      </c>
      <c r="H56">
        <v>0</v>
      </c>
      <c r="I56" t="s">
        <v>201</v>
      </c>
      <c r="J56" t="s">
        <v>202</v>
      </c>
      <c r="K56" t="s">
        <v>19</v>
      </c>
      <c r="L56" t="s">
        <v>20</v>
      </c>
      <c r="M56">
        <v>95</v>
      </c>
      <c r="N56" t="s">
        <v>21</v>
      </c>
      <c r="O56" t="s">
        <v>22</v>
      </c>
      <c r="P56" t="s">
        <v>23</v>
      </c>
    </row>
    <row r="57" spans="1:16" x14ac:dyDescent="0.3">
      <c r="A57" t="s">
        <v>203</v>
      </c>
      <c r="B57" t="s">
        <v>204</v>
      </c>
      <c r="C57" s="1">
        <v>45173</v>
      </c>
      <c r="D57" s="1">
        <v>45173</v>
      </c>
      <c r="E57">
        <v>850</v>
      </c>
      <c r="F57">
        <v>850</v>
      </c>
      <c r="G57">
        <v>0</v>
      </c>
      <c r="H57">
        <v>0</v>
      </c>
      <c r="I57" t="s">
        <v>89</v>
      </c>
      <c r="J57" t="s">
        <v>90</v>
      </c>
      <c r="K57" t="s">
        <v>19</v>
      </c>
      <c r="L57" t="s">
        <v>20</v>
      </c>
      <c r="M57">
        <v>95</v>
      </c>
      <c r="N57" t="s">
        <v>21</v>
      </c>
      <c r="O57" t="s">
        <v>22</v>
      </c>
      <c r="P57" t="s">
        <v>23</v>
      </c>
    </row>
    <row r="58" spans="1:16" x14ac:dyDescent="0.3">
      <c r="A58" t="s">
        <v>205</v>
      </c>
      <c r="B58" t="s">
        <v>206</v>
      </c>
      <c r="C58" s="1">
        <v>45174</v>
      </c>
      <c r="D58" s="1">
        <v>45174</v>
      </c>
      <c r="E58">
        <v>200</v>
      </c>
      <c r="F58">
        <v>200</v>
      </c>
      <c r="G58">
        <v>0</v>
      </c>
      <c r="H58">
        <v>0</v>
      </c>
      <c r="I58" t="s">
        <v>207</v>
      </c>
      <c r="J58" t="s">
        <v>208</v>
      </c>
      <c r="K58" t="s">
        <v>19</v>
      </c>
      <c r="L58" t="s">
        <v>20</v>
      </c>
      <c r="M58">
        <v>95</v>
      </c>
      <c r="N58" t="s">
        <v>21</v>
      </c>
      <c r="O58" t="s">
        <v>22</v>
      </c>
      <c r="P58" t="s">
        <v>23</v>
      </c>
    </row>
    <row r="59" spans="1:16" x14ac:dyDescent="0.3">
      <c r="A59" t="s">
        <v>209</v>
      </c>
      <c r="B59" t="s">
        <v>210</v>
      </c>
      <c r="C59" s="1">
        <v>45174</v>
      </c>
      <c r="D59" s="1">
        <v>45174</v>
      </c>
      <c r="E59">
        <v>1100</v>
      </c>
      <c r="F59">
        <v>1100</v>
      </c>
      <c r="G59">
        <v>0</v>
      </c>
      <c r="H59">
        <v>0</v>
      </c>
      <c r="I59" t="s">
        <v>89</v>
      </c>
      <c r="J59" t="s">
        <v>90</v>
      </c>
      <c r="K59" t="s">
        <v>19</v>
      </c>
      <c r="L59" t="s">
        <v>20</v>
      </c>
      <c r="M59">
        <v>95</v>
      </c>
      <c r="N59" t="s">
        <v>21</v>
      </c>
      <c r="O59" t="s">
        <v>22</v>
      </c>
      <c r="P59" t="s">
        <v>23</v>
      </c>
    </row>
    <row r="60" spans="1:16" x14ac:dyDescent="0.3">
      <c r="A60" t="s">
        <v>211</v>
      </c>
      <c r="B60" t="s">
        <v>212</v>
      </c>
      <c r="C60" s="1">
        <v>45175</v>
      </c>
      <c r="D60" s="1">
        <v>45175</v>
      </c>
      <c r="E60">
        <v>10</v>
      </c>
      <c r="F60">
        <v>10</v>
      </c>
      <c r="G60">
        <v>0</v>
      </c>
      <c r="H60">
        <v>0</v>
      </c>
      <c r="I60" t="s">
        <v>213</v>
      </c>
      <c r="J60" t="s">
        <v>214</v>
      </c>
      <c r="K60" t="s">
        <v>19</v>
      </c>
      <c r="L60" t="s">
        <v>20</v>
      </c>
      <c r="M60">
        <v>95</v>
      </c>
      <c r="N60" t="s">
        <v>21</v>
      </c>
      <c r="O60" t="s">
        <v>22</v>
      </c>
      <c r="P60" t="s">
        <v>23</v>
      </c>
    </row>
    <row r="61" spans="1:16" x14ac:dyDescent="0.3">
      <c r="A61" t="s">
        <v>215</v>
      </c>
      <c r="B61" t="s">
        <v>216</v>
      </c>
      <c r="C61" s="1">
        <v>45175</v>
      </c>
      <c r="D61" s="1">
        <v>45175</v>
      </c>
      <c r="E61">
        <v>15</v>
      </c>
      <c r="F61">
        <v>15</v>
      </c>
      <c r="G61">
        <v>0</v>
      </c>
      <c r="H61">
        <v>0</v>
      </c>
      <c r="I61" t="s">
        <v>167</v>
      </c>
      <c r="J61" t="s">
        <v>168</v>
      </c>
      <c r="K61" t="s">
        <v>19</v>
      </c>
      <c r="L61" t="s">
        <v>20</v>
      </c>
      <c r="M61">
        <v>95</v>
      </c>
      <c r="N61" t="s">
        <v>21</v>
      </c>
      <c r="O61" t="s">
        <v>22</v>
      </c>
      <c r="P61" t="s">
        <v>23</v>
      </c>
    </row>
    <row r="62" spans="1:16" x14ac:dyDescent="0.3">
      <c r="A62" t="s">
        <v>217</v>
      </c>
      <c r="B62" t="s">
        <v>218</v>
      </c>
      <c r="C62" s="1">
        <v>45177</v>
      </c>
      <c r="D62" s="1">
        <v>45177</v>
      </c>
      <c r="E62">
        <v>220</v>
      </c>
      <c r="F62">
        <v>220</v>
      </c>
      <c r="G62">
        <v>0</v>
      </c>
      <c r="H62">
        <v>0</v>
      </c>
      <c r="I62" t="s">
        <v>81</v>
      </c>
      <c r="J62" t="s">
        <v>82</v>
      </c>
      <c r="K62" t="s">
        <v>91</v>
      </c>
      <c r="L62" t="s">
        <v>92</v>
      </c>
      <c r="M62">
        <v>85</v>
      </c>
      <c r="N62" t="s">
        <v>93</v>
      </c>
      <c r="O62" t="s">
        <v>219</v>
      </c>
      <c r="P62" t="s">
        <v>220</v>
      </c>
    </row>
    <row r="63" spans="1:16" x14ac:dyDescent="0.3">
      <c r="A63" t="s">
        <v>221</v>
      </c>
      <c r="B63" t="s">
        <v>222</v>
      </c>
      <c r="C63" s="1">
        <v>45177</v>
      </c>
      <c r="D63" s="1">
        <v>45177</v>
      </c>
      <c r="E63">
        <v>500</v>
      </c>
      <c r="F63">
        <v>500</v>
      </c>
      <c r="G63">
        <v>0</v>
      </c>
      <c r="H63">
        <v>0</v>
      </c>
      <c r="I63" t="s">
        <v>81</v>
      </c>
      <c r="J63" t="s">
        <v>82</v>
      </c>
      <c r="K63" t="s">
        <v>19</v>
      </c>
      <c r="L63" t="s">
        <v>20</v>
      </c>
      <c r="M63">
        <v>95</v>
      </c>
      <c r="N63" t="s">
        <v>21</v>
      </c>
      <c r="O63" t="s">
        <v>22</v>
      </c>
      <c r="P63" t="s">
        <v>23</v>
      </c>
    </row>
    <row r="64" spans="1:16" x14ac:dyDescent="0.3">
      <c r="A64" t="s">
        <v>223</v>
      </c>
      <c r="B64" t="s">
        <v>224</v>
      </c>
      <c r="C64" s="1">
        <v>45177</v>
      </c>
      <c r="D64" s="1">
        <v>45177</v>
      </c>
      <c r="E64">
        <v>850</v>
      </c>
      <c r="F64">
        <v>850</v>
      </c>
      <c r="G64">
        <v>0</v>
      </c>
      <c r="H64">
        <v>0</v>
      </c>
      <c r="I64" t="s">
        <v>89</v>
      </c>
      <c r="J64" t="s">
        <v>90</v>
      </c>
      <c r="K64" t="s">
        <v>19</v>
      </c>
      <c r="L64" t="s">
        <v>20</v>
      </c>
      <c r="M64">
        <v>95</v>
      </c>
      <c r="N64" t="s">
        <v>21</v>
      </c>
      <c r="O64" t="s">
        <v>22</v>
      </c>
      <c r="P64" t="s">
        <v>23</v>
      </c>
    </row>
    <row r="65" spans="1:16" x14ac:dyDescent="0.3">
      <c r="A65" t="s">
        <v>225</v>
      </c>
      <c r="B65" t="s">
        <v>226</v>
      </c>
      <c r="C65" s="1">
        <v>45178</v>
      </c>
      <c r="D65" s="1">
        <v>45178</v>
      </c>
      <c r="E65">
        <v>350</v>
      </c>
      <c r="F65">
        <v>350</v>
      </c>
      <c r="G65">
        <v>0</v>
      </c>
      <c r="H65">
        <v>0</v>
      </c>
      <c r="I65" t="s">
        <v>108</v>
      </c>
      <c r="J65" t="s">
        <v>109</v>
      </c>
      <c r="K65" t="s">
        <v>19</v>
      </c>
      <c r="L65" t="s">
        <v>110</v>
      </c>
      <c r="M65">
        <v>100</v>
      </c>
      <c r="N65" t="s">
        <v>21</v>
      </c>
      <c r="O65" t="s">
        <v>22</v>
      </c>
      <c r="P65" t="s">
        <v>23</v>
      </c>
    </row>
    <row r="66" spans="1:16" x14ac:dyDescent="0.3">
      <c r="A66" t="s">
        <v>227</v>
      </c>
      <c r="B66" t="s">
        <v>228</v>
      </c>
      <c r="C66" s="1">
        <v>45178</v>
      </c>
      <c r="D66" s="1">
        <v>45178</v>
      </c>
      <c r="E66">
        <v>1</v>
      </c>
      <c r="F66">
        <v>1</v>
      </c>
      <c r="G66">
        <v>0</v>
      </c>
      <c r="H66">
        <v>0</v>
      </c>
      <c r="I66" t="s">
        <v>229</v>
      </c>
      <c r="J66" t="s">
        <v>230</v>
      </c>
      <c r="K66" t="s">
        <v>19</v>
      </c>
      <c r="L66" t="s">
        <v>20</v>
      </c>
      <c r="M66">
        <v>95</v>
      </c>
      <c r="N66" t="s">
        <v>21</v>
      </c>
      <c r="O66" t="s">
        <v>22</v>
      </c>
      <c r="P66" t="s">
        <v>23</v>
      </c>
    </row>
    <row r="67" spans="1:16" x14ac:dyDescent="0.3">
      <c r="A67" t="s">
        <v>231</v>
      </c>
      <c r="B67" t="s">
        <v>232</v>
      </c>
      <c r="C67" s="1">
        <v>45178</v>
      </c>
      <c r="D67" s="1">
        <v>45180</v>
      </c>
      <c r="E67">
        <v>499</v>
      </c>
      <c r="F67">
        <v>499</v>
      </c>
      <c r="G67">
        <v>0</v>
      </c>
      <c r="H67">
        <v>2</v>
      </c>
      <c r="I67" t="s">
        <v>233</v>
      </c>
      <c r="J67" t="s">
        <v>234</v>
      </c>
      <c r="K67" t="s">
        <v>235</v>
      </c>
      <c r="L67" t="s">
        <v>236</v>
      </c>
      <c r="M67">
        <v>75</v>
      </c>
      <c r="N67" t="s">
        <v>93</v>
      </c>
      <c r="O67" t="s">
        <v>22</v>
      </c>
      <c r="P67" t="s">
        <v>23</v>
      </c>
    </row>
    <row r="68" spans="1:16" x14ac:dyDescent="0.3">
      <c r="A68" t="s">
        <v>237</v>
      </c>
      <c r="B68" t="s">
        <v>238</v>
      </c>
      <c r="C68" s="1">
        <v>45178</v>
      </c>
      <c r="D68" s="1">
        <v>45178</v>
      </c>
      <c r="E68">
        <v>200</v>
      </c>
      <c r="F68">
        <v>200</v>
      </c>
      <c r="G68">
        <v>0</v>
      </c>
      <c r="H68">
        <v>0</v>
      </c>
      <c r="I68" t="s">
        <v>89</v>
      </c>
      <c r="J68" t="s">
        <v>90</v>
      </c>
      <c r="K68" t="s">
        <v>19</v>
      </c>
      <c r="L68" t="s">
        <v>20</v>
      </c>
      <c r="M68">
        <v>95</v>
      </c>
      <c r="N68" t="s">
        <v>21</v>
      </c>
      <c r="O68" t="s">
        <v>22</v>
      </c>
      <c r="P68" t="s">
        <v>23</v>
      </c>
    </row>
    <row r="69" spans="1:16" x14ac:dyDescent="0.3">
      <c r="A69" t="s">
        <v>239</v>
      </c>
      <c r="B69" t="s">
        <v>240</v>
      </c>
      <c r="C69" s="1">
        <v>45180</v>
      </c>
      <c r="D69" s="1">
        <v>45180</v>
      </c>
      <c r="E69">
        <v>10</v>
      </c>
      <c r="F69">
        <v>10</v>
      </c>
      <c r="G69">
        <v>0</v>
      </c>
      <c r="H69">
        <v>0</v>
      </c>
      <c r="I69" t="s">
        <v>241</v>
      </c>
      <c r="J69" t="s">
        <v>242</v>
      </c>
      <c r="K69" t="s">
        <v>19</v>
      </c>
      <c r="L69" t="s">
        <v>20</v>
      </c>
      <c r="M69">
        <v>95</v>
      </c>
      <c r="N69" t="s">
        <v>21</v>
      </c>
      <c r="O69" t="s">
        <v>22</v>
      </c>
      <c r="P69" t="s">
        <v>23</v>
      </c>
    </row>
    <row r="70" spans="1:16" x14ac:dyDescent="0.3">
      <c r="A70" t="s">
        <v>243</v>
      </c>
      <c r="B70" t="s">
        <v>244</v>
      </c>
      <c r="C70" s="1">
        <v>45181</v>
      </c>
      <c r="D70" s="1">
        <v>45181</v>
      </c>
      <c r="E70">
        <v>180</v>
      </c>
      <c r="F70">
        <v>180</v>
      </c>
      <c r="G70">
        <v>0</v>
      </c>
      <c r="H70">
        <v>0</v>
      </c>
      <c r="I70" t="s">
        <v>108</v>
      </c>
      <c r="J70" t="s">
        <v>109</v>
      </c>
      <c r="K70" t="s">
        <v>19</v>
      </c>
      <c r="L70" t="s">
        <v>110</v>
      </c>
      <c r="M70">
        <v>100</v>
      </c>
      <c r="N70" t="s">
        <v>21</v>
      </c>
      <c r="O70" t="s">
        <v>22</v>
      </c>
      <c r="P70" t="s">
        <v>23</v>
      </c>
    </row>
    <row r="71" spans="1:16" x14ac:dyDescent="0.3">
      <c r="A71" t="s">
        <v>245</v>
      </c>
      <c r="B71" t="s">
        <v>246</v>
      </c>
      <c r="C71" s="1">
        <v>45181</v>
      </c>
      <c r="D71" s="1">
        <v>45181</v>
      </c>
      <c r="E71">
        <v>60</v>
      </c>
      <c r="F71">
        <v>60</v>
      </c>
      <c r="G71">
        <v>0</v>
      </c>
      <c r="H71">
        <v>0</v>
      </c>
      <c r="I71" t="s">
        <v>18</v>
      </c>
      <c r="J71" t="s">
        <v>18</v>
      </c>
      <c r="K71" t="s">
        <v>19</v>
      </c>
      <c r="L71" t="s">
        <v>20</v>
      </c>
      <c r="M71">
        <v>95</v>
      </c>
      <c r="N71" t="s">
        <v>21</v>
      </c>
      <c r="O71" t="s">
        <v>22</v>
      </c>
      <c r="P71" t="s">
        <v>23</v>
      </c>
    </row>
    <row r="72" spans="1:16" x14ac:dyDescent="0.3">
      <c r="A72" t="s">
        <v>247</v>
      </c>
      <c r="B72" t="s">
        <v>248</v>
      </c>
      <c r="C72" s="1">
        <v>45181</v>
      </c>
      <c r="D72" s="1">
        <v>45181</v>
      </c>
      <c r="E72">
        <v>10</v>
      </c>
      <c r="F72">
        <v>10</v>
      </c>
      <c r="G72">
        <v>0</v>
      </c>
      <c r="H72">
        <v>0</v>
      </c>
      <c r="I72" t="s">
        <v>249</v>
      </c>
      <c r="J72" t="s">
        <v>250</v>
      </c>
      <c r="K72" t="s">
        <v>19</v>
      </c>
      <c r="L72" t="s">
        <v>20</v>
      </c>
      <c r="M72">
        <v>95</v>
      </c>
      <c r="N72" t="s">
        <v>21</v>
      </c>
      <c r="O72" t="s">
        <v>22</v>
      </c>
      <c r="P72" t="s">
        <v>23</v>
      </c>
    </row>
    <row r="73" spans="1:16" x14ac:dyDescent="0.3">
      <c r="A73" t="s">
        <v>251</v>
      </c>
      <c r="B73" t="s">
        <v>252</v>
      </c>
      <c r="C73" s="1">
        <v>45181</v>
      </c>
      <c r="D73" s="1">
        <v>45181</v>
      </c>
      <c r="E73">
        <v>20</v>
      </c>
      <c r="F73">
        <v>20</v>
      </c>
      <c r="G73">
        <v>0</v>
      </c>
      <c r="H73">
        <v>0</v>
      </c>
      <c r="I73" t="s">
        <v>96</v>
      </c>
      <c r="J73" t="s">
        <v>97</v>
      </c>
      <c r="K73" t="s">
        <v>19</v>
      </c>
      <c r="L73" t="s">
        <v>20</v>
      </c>
      <c r="M73">
        <v>95</v>
      </c>
      <c r="N73" t="s">
        <v>21</v>
      </c>
      <c r="O73" t="s">
        <v>22</v>
      </c>
      <c r="P73" t="s">
        <v>23</v>
      </c>
    </row>
    <row r="74" spans="1:16" x14ac:dyDescent="0.3">
      <c r="A74" t="s">
        <v>253</v>
      </c>
      <c r="B74" t="s">
        <v>254</v>
      </c>
      <c r="C74" s="1">
        <v>45182</v>
      </c>
      <c r="D74" s="1">
        <v>45182</v>
      </c>
      <c r="E74">
        <v>350</v>
      </c>
      <c r="F74">
        <v>350</v>
      </c>
      <c r="G74">
        <v>0</v>
      </c>
      <c r="H74">
        <v>0</v>
      </c>
      <c r="I74" t="s">
        <v>108</v>
      </c>
      <c r="J74" t="s">
        <v>109</v>
      </c>
      <c r="K74" t="s">
        <v>19</v>
      </c>
      <c r="L74" t="s">
        <v>110</v>
      </c>
      <c r="M74">
        <v>100</v>
      </c>
      <c r="N74" t="s">
        <v>21</v>
      </c>
      <c r="O74" t="s">
        <v>22</v>
      </c>
      <c r="P74" t="s">
        <v>23</v>
      </c>
    </row>
    <row r="75" spans="1:16" x14ac:dyDescent="0.3">
      <c r="A75" t="s">
        <v>255</v>
      </c>
      <c r="B75" t="s">
        <v>256</v>
      </c>
      <c r="C75" s="1">
        <v>45182</v>
      </c>
      <c r="D75" s="1">
        <v>45182</v>
      </c>
      <c r="E75">
        <v>3000</v>
      </c>
      <c r="F75">
        <v>3000</v>
      </c>
      <c r="G75">
        <v>0</v>
      </c>
      <c r="H75">
        <v>0</v>
      </c>
      <c r="I75" t="s">
        <v>257</v>
      </c>
      <c r="J75" t="s">
        <v>258</v>
      </c>
      <c r="K75" t="s">
        <v>19</v>
      </c>
      <c r="L75" t="s">
        <v>20</v>
      </c>
      <c r="M75">
        <v>95</v>
      </c>
      <c r="N75" t="s">
        <v>21</v>
      </c>
      <c r="O75" t="s">
        <v>22</v>
      </c>
      <c r="P75" t="s">
        <v>23</v>
      </c>
    </row>
    <row r="76" spans="1:16" x14ac:dyDescent="0.3">
      <c r="A76" t="s">
        <v>259</v>
      </c>
      <c r="B76" t="s">
        <v>260</v>
      </c>
      <c r="C76" s="1">
        <v>45182</v>
      </c>
      <c r="D76" s="1">
        <v>45182</v>
      </c>
      <c r="E76">
        <v>400</v>
      </c>
      <c r="F76">
        <v>400</v>
      </c>
      <c r="G76">
        <v>0</v>
      </c>
      <c r="H76">
        <v>0</v>
      </c>
      <c r="I76" t="s">
        <v>89</v>
      </c>
      <c r="J76" t="s">
        <v>90</v>
      </c>
      <c r="K76" t="s">
        <v>19</v>
      </c>
      <c r="L76" t="s">
        <v>20</v>
      </c>
      <c r="M76">
        <v>95</v>
      </c>
      <c r="N76" t="s">
        <v>21</v>
      </c>
      <c r="O76" t="s">
        <v>22</v>
      </c>
      <c r="P76" t="s">
        <v>23</v>
      </c>
    </row>
    <row r="77" spans="1:16" x14ac:dyDescent="0.3">
      <c r="A77" t="s">
        <v>261</v>
      </c>
      <c r="B77" t="s">
        <v>262</v>
      </c>
      <c r="C77" s="1">
        <v>45183</v>
      </c>
      <c r="D77" s="1">
        <v>45184</v>
      </c>
      <c r="E77">
        <v>140</v>
      </c>
      <c r="F77">
        <v>140</v>
      </c>
      <c r="G77">
        <v>0</v>
      </c>
      <c r="H77">
        <v>1</v>
      </c>
      <c r="I77" t="s">
        <v>263</v>
      </c>
      <c r="J77" t="s">
        <v>264</v>
      </c>
      <c r="K77" t="s">
        <v>235</v>
      </c>
      <c r="L77" t="s">
        <v>265</v>
      </c>
      <c r="M77">
        <v>80</v>
      </c>
      <c r="N77" t="s">
        <v>93</v>
      </c>
      <c r="O77" t="s">
        <v>22</v>
      </c>
      <c r="P77" t="s">
        <v>23</v>
      </c>
    </row>
    <row r="78" spans="1:16" x14ac:dyDescent="0.3">
      <c r="A78" t="s">
        <v>266</v>
      </c>
      <c r="B78" t="s">
        <v>267</v>
      </c>
      <c r="C78" s="1">
        <v>45183</v>
      </c>
      <c r="D78" s="1">
        <v>45183</v>
      </c>
      <c r="E78">
        <v>120</v>
      </c>
      <c r="F78">
        <v>120</v>
      </c>
      <c r="G78">
        <v>0</v>
      </c>
      <c r="H78">
        <v>0</v>
      </c>
      <c r="I78" t="s">
        <v>268</v>
      </c>
      <c r="J78" t="s">
        <v>269</v>
      </c>
      <c r="K78" t="s">
        <v>19</v>
      </c>
      <c r="L78" t="s">
        <v>20</v>
      </c>
      <c r="M78">
        <v>95</v>
      </c>
      <c r="N78" t="s">
        <v>21</v>
      </c>
      <c r="O78" t="s">
        <v>22</v>
      </c>
      <c r="P78" t="s">
        <v>23</v>
      </c>
    </row>
    <row r="79" spans="1:16" x14ac:dyDescent="0.3">
      <c r="A79" t="s">
        <v>270</v>
      </c>
      <c r="B79" t="s">
        <v>271</v>
      </c>
      <c r="C79" s="1">
        <v>45183</v>
      </c>
      <c r="D79" s="1">
        <v>45183</v>
      </c>
      <c r="E79">
        <v>670</v>
      </c>
      <c r="F79">
        <v>670</v>
      </c>
      <c r="G79">
        <v>0</v>
      </c>
      <c r="H79">
        <v>0</v>
      </c>
      <c r="I79" t="s">
        <v>89</v>
      </c>
      <c r="J79" t="s">
        <v>90</v>
      </c>
      <c r="K79" t="s">
        <v>19</v>
      </c>
      <c r="L79" t="s">
        <v>20</v>
      </c>
      <c r="M79">
        <v>95</v>
      </c>
      <c r="N79" t="s">
        <v>21</v>
      </c>
      <c r="O79" t="s">
        <v>22</v>
      </c>
      <c r="P79" t="s">
        <v>23</v>
      </c>
    </row>
    <row r="80" spans="1:16" x14ac:dyDescent="0.3">
      <c r="A80" t="s">
        <v>272</v>
      </c>
      <c r="B80" t="s">
        <v>273</v>
      </c>
      <c r="C80" s="1">
        <v>45183</v>
      </c>
      <c r="D80" s="1">
        <v>45183</v>
      </c>
      <c r="E80">
        <v>5500</v>
      </c>
      <c r="F80">
        <v>5500</v>
      </c>
      <c r="G80">
        <v>0</v>
      </c>
      <c r="H80">
        <v>0</v>
      </c>
      <c r="I80" t="s">
        <v>89</v>
      </c>
      <c r="J80" t="s">
        <v>90</v>
      </c>
      <c r="K80" t="s">
        <v>19</v>
      </c>
      <c r="L80" t="s">
        <v>20</v>
      </c>
      <c r="M80">
        <v>95</v>
      </c>
      <c r="N80" t="s">
        <v>21</v>
      </c>
      <c r="O80" t="s">
        <v>22</v>
      </c>
      <c r="P80" t="s">
        <v>23</v>
      </c>
    </row>
    <row r="81" spans="1:16" x14ac:dyDescent="0.3">
      <c r="A81" t="s">
        <v>274</v>
      </c>
      <c r="B81" t="s">
        <v>275</v>
      </c>
      <c r="C81" s="1">
        <v>45183</v>
      </c>
      <c r="D81" s="1">
        <v>45183</v>
      </c>
      <c r="E81">
        <v>50</v>
      </c>
      <c r="F81">
        <v>52.5</v>
      </c>
      <c r="G81">
        <v>2.5</v>
      </c>
      <c r="H81">
        <v>0</v>
      </c>
      <c r="I81" t="s">
        <v>276</v>
      </c>
      <c r="J81" t="s">
        <v>277</v>
      </c>
      <c r="K81" t="s">
        <v>278</v>
      </c>
      <c r="L81" t="s">
        <v>279</v>
      </c>
      <c r="M81">
        <v>80</v>
      </c>
      <c r="N81" t="s">
        <v>93</v>
      </c>
      <c r="O81" t="s">
        <v>22</v>
      </c>
      <c r="P81" t="s">
        <v>23</v>
      </c>
    </row>
    <row r="82" spans="1:16" x14ac:dyDescent="0.3">
      <c r="A82" t="s">
        <v>280</v>
      </c>
      <c r="B82" t="s">
        <v>281</v>
      </c>
      <c r="C82" s="1">
        <v>45184</v>
      </c>
      <c r="D82" s="1">
        <v>45184</v>
      </c>
      <c r="E82">
        <v>580</v>
      </c>
      <c r="F82">
        <v>580</v>
      </c>
      <c r="G82">
        <v>0</v>
      </c>
      <c r="H82">
        <v>0</v>
      </c>
      <c r="I82" t="s">
        <v>89</v>
      </c>
      <c r="J82" t="s">
        <v>90</v>
      </c>
      <c r="K82" t="s">
        <v>19</v>
      </c>
      <c r="L82" t="s">
        <v>20</v>
      </c>
      <c r="M82">
        <v>95</v>
      </c>
      <c r="N82" t="s">
        <v>21</v>
      </c>
      <c r="O82" t="s">
        <v>22</v>
      </c>
      <c r="P82" t="s">
        <v>23</v>
      </c>
    </row>
    <row r="83" spans="1:16" x14ac:dyDescent="0.3">
      <c r="A83" t="s">
        <v>282</v>
      </c>
      <c r="B83" t="s">
        <v>283</v>
      </c>
      <c r="C83" s="1">
        <v>45184</v>
      </c>
      <c r="D83" s="1">
        <v>45184</v>
      </c>
      <c r="E83">
        <v>40</v>
      </c>
      <c r="F83">
        <v>40</v>
      </c>
      <c r="G83">
        <v>0</v>
      </c>
      <c r="H83">
        <v>0</v>
      </c>
      <c r="I83" t="s">
        <v>284</v>
      </c>
      <c r="J83" t="s">
        <v>285</v>
      </c>
      <c r="K83" t="s">
        <v>19</v>
      </c>
      <c r="L83" t="s">
        <v>20</v>
      </c>
      <c r="M83">
        <v>95</v>
      </c>
      <c r="N83" t="s">
        <v>21</v>
      </c>
      <c r="O83" t="s">
        <v>22</v>
      </c>
      <c r="P83" t="s">
        <v>23</v>
      </c>
    </row>
    <row r="84" spans="1:16" x14ac:dyDescent="0.3">
      <c r="A84" t="s">
        <v>286</v>
      </c>
      <c r="B84" t="s">
        <v>287</v>
      </c>
      <c r="C84" s="1">
        <v>45184</v>
      </c>
      <c r="D84" s="1">
        <v>45184</v>
      </c>
      <c r="E84">
        <v>400</v>
      </c>
      <c r="F84">
        <v>400</v>
      </c>
      <c r="G84">
        <v>0</v>
      </c>
      <c r="H84">
        <v>0</v>
      </c>
      <c r="I84" t="s">
        <v>89</v>
      </c>
      <c r="J84" t="s">
        <v>90</v>
      </c>
      <c r="K84" t="s">
        <v>19</v>
      </c>
      <c r="L84" t="s">
        <v>20</v>
      </c>
      <c r="M84">
        <v>95</v>
      </c>
      <c r="N84" t="s">
        <v>21</v>
      </c>
      <c r="O84" t="s">
        <v>22</v>
      </c>
      <c r="P84" t="s">
        <v>23</v>
      </c>
    </row>
    <row r="85" spans="1:16" x14ac:dyDescent="0.3">
      <c r="A85" t="s">
        <v>288</v>
      </c>
      <c r="B85" t="s">
        <v>289</v>
      </c>
      <c r="C85" s="1">
        <v>45185</v>
      </c>
      <c r="D85" s="1">
        <v>45185</v>
      </c>
      <c r="E85">
        <v>120</v>
      </c>
      <c r="F85">
        <v>120</v>
      </c>
      <c r="G85">
        <v>0</v>
      </c>
      <c r="H85">
        <v>0</v>
      </c>
      <c r="I85" t="s">
        <v>81</v>
      </c>
      <c r="J85" t="s">
        <v>82</v>
      </c>
      <c r="K85" t="s">
        <v>19</v>
      </c>
      <c r="L85" t="s">
        <v>20</v>
      </c>
      <c r="M85">
        <v>95</v>
      </c>
      <c r="N85" t="s">
        <v>21</v>
      </c>
      <c r="O85" t="s">
        <v>22</v>
      </c>
      <c r="P85" t="s">
        <v>23</v>
      </c>
    </row>
    <row r="86" spans="1:16" x14ac:dyDescent="0.3">
      <c r="A86" t="s">
        <v>290</v>
      </c>
      <c r="B86" t="s">
        <v>291</v>
      </c>
      <c r="C86" s="1">
        <v>45185</v>
      </c>
      <c r="D86" s="1">
        <v>45185</v>
      </c>
      <c r="E86">
        <v>110</v>
      </c>
      <c r="F86">
        <v>110</v>
      </c>
      <c r="G86">
        <v>0</v>
      </c>
      <c r="H86">
        <v>0</v>
      </c>
      <c r="I86" t="s">
        <v>292</v>
      </c>
      <c r="J86" t="s">
        <v>293</v>
      </c>
      <c r="K86" t="s">
        <v>19</v>
      </c>
      <c r="L86" t="s">
        <v>20</v>
      </c>
      <c r="M86">
        <v>95</v>
      </c>
      <c r="N86" t="s">
        <v>21</v>
      </c>
      <c r="O86" t="s">
        <v>22</v>
      </c>
      <c r="P86" t="s">
        <v>23</v>
      </c>
    </row>
    <row r="87" spans="1:16" x14ac:dyDescent="0.3">
      <c r="A87" t="s">
        <v>294</v>
      </c>
      <c r="B87" t="s">
        <v>295</v>
      </c>
      <c r="C87" s="1">
        <v>45186</v>
      </c>
      <c r="D87" s="1">
        <v>45186</v>
      </c>
      <c r="E87">
        <v>50</v>
      </c>
      <c r="F87">
        <v>50</v>
      </c>
      <c r="G87">
        <v>0</v>
      </c>
      <c r="H87">
        <v>0</v>
      </c>
      <c r="I87" t="s">
        <v>296</v>
      </c>
      <c r="J87" t="s">
        <v>297</v>
      </c>
      <c r="K87" t="s">
        <v>19</v>
      </c>
      <c r="L87" t="s">
        <v>20</v>
      </c>
      <c r="M87">
        <v>95</v>
      </c>
      <c r="N87" t="s">
        <v>21</v>
      </c>
      <c r="O87" t="s">
        <v>22</v>
      </c>
      <c r="P87" t="s">
        <v>23</v>
      </c>
    </row>
    <row r="88" spans="1:16" x14ac:dyDescent="0.3">
      <c r="A88" t="s">
        <v>298</v>
      </c>
      <c r="B88" t="s">
        <v>299</v>
      </c>
      <c r="C88" s="1">
        <v>45186</v>
      </c>
      <c r="D88" s="1">
        <v>45186</v>
      </c>
      <c r="E88">
        <v>19</v>
      </c>
      <c r="F88">
        <v>19</v>
      </c>
      <c r="G88">
        <v>0</v>
      </c>
      <c r="H88">
        <v>0</v>
      </c>
      <c r="I88" t="s">
        <v>300</v>
      </c>
      <c r="J88" t="s">
        <v>301</v>
      </c>
      <c r="K88" t="s">
        <v>19</v>
      </c>
      <c r="L88" t="s">
        <v>20</v>
      </c>
      <c r="M88">
        <v>95</v>
      </c>
      <c r="N88" t="s">
        <v>21</v>
      </c>
      <c r="O88" t="s">
        <v>22</v>
      </c>
      <c r="P88" t="s">
        <v>23</v>
      </c>
    </row>
    <row r="89" spans="1:16" x14ac:dyDescent="0.3">
      <c r="A89" t="s">
        <v>302</v>
      </c>
      <c r="B89" t="s">
        <v>303</v>
      </c>
      <c r="C89" s="1">
        <v>45186</v>
      </c>
      <c r="D89" s="1">
        <v>45186</v>
      </c>
      <c r="E89">
        <v>10</v>
      </c>
      <c r="F89">
        <v>10</v>
      </c>
      <c r="G89">
        <v>0</v>
      </c>
      <c r="H89">
        <v>0</v>
      </c>
      <c r="I89" t="s">
        <v>304</v>
      </c>
      <c r="J89" t="s">
        <v>305</v>
      </c>
      <c r="K89" t="s">
        <v>91</v>
      </c>
      <c r="L89" t="s">
        <v>92</v>
      </c>
      <c r="M89">
        <v>85</v>
      </c>
      <c r="N89" t="s">
        <v>93</v>
      </c>
      <c r="O89" t="s">
        <v>219</v>
      </c>
      <c r="P89" t="s">
        <v>220</v>
      </c>
    </row>
    <row r="90" spans="1:16" x14ac:dyDescent="0.3">
      <c r="A90" t="s">
        <v>306</v>
      </c>
      <c r="B90" t="s">
        <v>307</v>
      </c>
      <c r="C90" s="1">
        <v>45187</v>
      </c>
      <c r="D90" s="1">
        <v>45187</v>
      </c>
      <c r="E90">
        <v>241</v>
      </c>
      <c r="F90">
        <v>241</v>
      </c>
      <c r="G90">
        <v>0</v>
      </c>
      <c r="H90">
        <v>0</v>
      </c>
      <c r="I90" t="s">
        <v>300</v>
      </c>
      <c r="J90" t="s">
        <v>301</v>
      </c>
      <c r="K90" t="s">
        <v>19</v>
      </c>
      <c r="L90" t="s">
        <v>20</v>
      </c>
      <c r="M90">
        <v>95</v>
      </c>
      <c r="N90" t="s">
        <v>21</v>
      </c>
      <c r="O90" t="s">
        <v>22</v>
      </c>
      <c r="P90" t="s">
        <v>23</v>
      </c>
    </row>
    <row r="91" spans="1:16" x14ac:dyDescent="0.3">
      <c r="A91" t="s">
        <v>308</v>
      </c>
      <c r="B91" t="s">
        <v>309</v>
      </c>
      <c r="C91" s="1">
        <v>45187</v>
      </c>
      <c r="D91" s="1">
        <v>45187</v>
      </c>
      <c r="E91">
        <v>450</v>
      </c>
      <c r="F91">
        <v>450</v>
      </c>
      <c r="G91">
        <v>0</v>
      </c>
      <c r="H91">
        <v>0</v>
      </c>
      <c r="I91" t="s">
        <v>89</v>
      </c>
      <c r="J91" t="s">
        <v>90</v>
      </c>
      <c r="K91" t="s">
        <v>19</v>
      </c>
      <c r="L91" t="s">
        <v>20</v>
      </c>
      <c r="M91">
        <v>95</v>
      </c>
      <c r="N91" t="s">
        <v>21</v>
      </c>
      <c r="O91" t="s">
        <v>22</v>
      </c>
      <c r="P91" t="s">
        <v>23</v>
      </c>
    </row>
    <row r="92" spans="1:16" x14ac:dyDescent="0.3">
      <c r="A92" t="s">
        <v>310</v>
      </c>
      <c r="B92" t="s">
        <v>311</v>
      </c>
      <c r="C92" s="1">
        <v>45189</v>
      </c>
      <c r="D92" s="1">
        <v>45189</v>
      </c>
      <c r="E92">
        <v>60</v>
      </c>
      <c r="F92">
        <v>60</v>
      </c>
      <c r="G92">
        <v>0</v>
      </c>
      <c r="H92">
        <v>0</v>
      </c>
      <c r="I92" t="s">
        <v>312</v>
      </c>
      <c r="J92" t="s">
        <v>313</v>
      </c>
      <c r="K92" t="s">
        <v>19</v>
      </c>
      <c r="L92" t="s">
        <v>20</v>
      </c>
      <c r="M92">
        <v>95</v>
      </c>
      <c r="N92" t="s">
        <v>21</v>
      </c>
      <c r="O92" t="s">
        <v>22</v>
      </c>
      <c r="P92" t="s">
        <v>23</v>
      </c>
    </row>
    <row r="93" spans="1:16" x14ac:dyDescent="0.3">
      <c r="A93" t="s">
        <v>314</v>
      </c>
      <c r="B93" t="s">
        <v>315</v>
      </c>
      <c r="C93" s="1">
        <v>45189</v>
      </c>
      <c r="D93" s="1">
        <v>45189</v>
      </c>
      <c r="E93">
        <v>19</v>
      </c>
      <c r="F93">
        <v>19</v>
      </c>
      <c r="G93">
        <v>0</v>
      </c>
      <c r="H93">
        <v>0</v>
      </c>
      <c r="I93" t="s">
        <v>300</v>
      </c>
      <c r="J93" t="s">
        <v>301</v>
      </c>
      <c r="K93" t="s">
        <v>19</v>
      </c>
      <c r="L93" t="s">
        <v>20</v>
      </c>
      <c r="M93">
        <v>95</v>
      </c>
      <c r="N93" t="s">
        <v>21</v>
      </c>
      <c r="O93" t="s">
        <v>22</v>
      </c>
      <c r="P93" t="s">
        <v>23</v>
      </c>
    </row>
    <row r="94" spans="1:16" x14ac:dyDescent="0.3">
      <c r="A94" t="s">
        <v>316</v>
      </c>
      <c r="B94" t="s">
        <v>317</v>
      </c>
      <c r="C94" s="1">
        <v>45189</v>
      </c>
      <c r="D94" s="1">
        <v>45189</v>
      </c>
      <c r="E94">
        <v>50</v>
      </c>
      <c r="F94">
        <v>50</v>
      </c>
      <c r="G94">
        <v>0</v>
      </c>
      <c r="H94">
        <v>0</v>
      </c>
      <c r="I94" t="s">
        <v>67</v>
      </c>
      <c r="J94" t="s">
        <v>68</v>
      </c>
      <c r="K94" t="s">
        <v>19</v>
      </c>
      <c r="L94" t="s">
        <v>20</v>
      </c>
      <c r="M94">
        <v>95</v>
      </c>
      <c r="N94" t="s">
        <v>21</v>
      </c>
      <c r="O94" t="s">
        <v>22</v>
      </c>
      <c r="P94" t="s">
        <v>23</v>
      </c>
    </row>
    <row r="95" spans="1:16" x14ac:dyDescent="0.3">
      <c r="A95" t="s">
        <v>318</v>
      </c>
      <c r="B95" t="s">
        <v>319</v>
      </c>
      <c r="C95" s="1">
        <v>45190</v>
      </c>
      <c r="D95" s="1">
        <v>45190</v>
      </c>
      <c r="E95">
        <v>1550</v>
      </c>
      <c r="F95">
        <v>1550</v>
      </c>
      <c r="G95">
        <v>0</v>
      </c>
      <c r="H95">
        <v>0</v>
      </c>
      <c r="I95" t="s">
        <v>108</v>
      </c>
      <c r="J95" t="s">
        <v>109</v>
      </c>
      <c r="K95" t="s">
        <v>19</v>
      </c>
      <c r="L95" t="s">
        <v>110</v>
      </c>
      <c r="M95">
        <v>100</v>
      </c>
      <c r="N95" t="s">
        <v>21</v>
      </c>
      <c r="O95" t="s">
        <v>22</v>
      </c>
      <c r="P95" t="s">
        <v>23</v>
      </c>
    </row>
    <row r="96" spans="1:16" x14ac:dyDescent="0.3">
      <c r="A96" t="s">
        <v>320</v>
      </c>
      <c r="B96" t="s">
        <v>321</v>
      </c>
      <c r="C96" s="1">
        <v>45190</v>
      </c>
      <c r="D96" s="1">
        <v>45190</v>
      </c>
      <c r="E96">
        <v>3500</v>
      </c>
      <c r="F96">
        <v>3500</v>
      </c>
      <c r="G96">
        <v>0</v>
      </c>
      <c r="H96">
        <v>0</v>
      </c>
      <c r="I96" t="s">
        <v>322</v>
      </c>
      <c r="J96" t="s">
        <v>323</v>
      </c>
      <c r="K96" t="s">
        <v>19</v>
      </c>
      <c r="L96" t="s">
        <v>20</v>
      </c>
      <c r="M96">
        <v>95</v>
      </c>
      <c r="N96" t="s">
        <v>21</v>
      </c>
      <c r="O96" t="s">
        <v>22</v>
      </c>
      <c r="P96" t="s">
        <v>23</v>
      </c>
    </row>
    <row r="97" spans="1:16" x14ac:dyDescent="0.3">
      <c r="A97" t="s">
        <v>324</v>
      </c>
      <c r="B97" t="s">
        <v>325</v>
      </c>
      <c r="C97" s="1">
        <v>45190</v>
      </c>
      <c r="D97" s="1">
        <v>45190</v>
      </c>
      <c r="E97">
        <v>1</v>
      </c>
      <c r="F97">
        <v>1</v>
      </c>
      <c r="G97">
        <v>0</v>
      </c>
      <c r="H97">
        <v>0</v>
      </c>
      <c r="I97" t="s">
        <v>326</v>
      </c>
      <c r="J97" t="s">
        <v>327</v>
      </c>
      <c r="K97" t="s">
        <v>19</v>
      </c>
      <c r="L97" t="s">
        <v>20</v>
      </c>
      <c r="M97">
        <v>95</v>
      </c>
      <c r="N97" t="s">
        <v>21</v>
      </c>
      <c r="O97" t="s">
        <v>22</v>
      </c>
      <c r="P97" t="s">
        <v>23</v>
      </c>
    </row>
    <row r="98" spans="1:16" x14ac:dyDescent="0.3">
      <c r="A98" t="s">
        <v>328</v>
      </c>
      <c r="B98" t="s">
        <v>329</v>
      </c>
      <c r="C98" s="1">
        <v>45190</v>
      </c>
      <c r="D98" s="1">
        <v>45190</v>
      </c>
      <c r="E98">
        <v>2500</v>
      </c>
      <c r="F98">
        <v>2500</v>
      </c>
      <c r="G98">
        <v>0</v>
      </c>
      <c r="H98">
        <v>0</v>
      </c>
      <c r="I98" t="s">
        <v>326</v>
      </c>
      <c r="J98" t="s">
        <v>327</v>
      </c>
      <c r="K98" t="s">
        <v>19</v>
      </c>
      <c r="L98" t="s">
        <v>20</v>
      </c>
      <c r="M98">
        <v>95</v>
      </c>
      <c r="N98" t="s">
        <v>21</v>
      </c>
      <c r="O98" t="s">
        <v>22</v>
      </c>
      <c r="P98" t="s">
        <v>23</v>
      </c>
    </row>
    <row r="99" spans="1:16" x14ac:dyDescent="0.3">
      <c r="A99" t="s">
        <v>330</v>
      </c>
      <c r="B99" t="s">
        <v>331</v>
      </c>
      <c r="C99" s="1">
        <v>45191</v>
      </c>
      <c r="D99" s="1">
        <v>45191</v>
      </c>
      <c r="E99">
        <v>50</v>
      </c>
      <c r="F99">
        <v>50</v>
      </c>
      <c r="G99">
        <v>0</v>
      </c>
      <c r="H99">
        <v>0</v>
      </c>
      <c r="I99" t="s">
        <v>332</v>
      </c>
      <c r="J99" t="s">
        <v>333</v>
      </c>
      <c r="K99" t="s">
        <v>19</v>
      </c>
      <c r="L99" t="s">
        <v>20</v>
      </c>
      <c r="M99">
        <v>95</v>
      </c>
      <c r="N99" t="s">
        <v>21</v>
      </c>
      <c r="O99" t="s">
        <v>22</v>
      </c>
      <c r="P99" t="s">
        <v>23</v>
      </c>
    </row>
    <row r="100" spans="1:16" x14ac:dyDescent="0.3">
      <c r="A100" t="s">
        <v>334</v>
      </c>
      <c r="B100" t="s">
        <v>335</v>
      </c>
      <c r="C100" s="1">
        <v>45191</v>
      </c>
      <c r="D100" s="1">
        <v>45191</v>
      </c>
      <c r="E100">
        <v>1530</v>
      </c>
      <c r="F100">
        <v>1530</v>
      </c>
      <c r="G100">
        <v>0</v>
      </c>
      <c r="H100">
        <v>0</v>
      </c>
      <c r="I100" t="s">
        <v>336</v>
      </c>
      <c r="J100" t="s">
        <v>337</v>
      </c>
      <c r="K100" t="s">
        <v>19</v>
      </c>
      <c r="L100" t="s">
        <v>20</v>
      </c>
      <c r="M100">
        <v>95</v>
      </c>
      <c r="N100" t="s">
        <v>21</v>
      </c>
      <c r="O100" t="s">
        <v>22</v>
      </c>
      <c r="P100" t="s">
        <v>23</v>
      </c>
    </row>
    <row r="101" spans="1:16" x14ac:dyDescent="0.3">
      <c r="A101" t="s">
        <v>338</v>
      </c>
      <c r="B101" t="s">
        <v>339</v>
      </c>
      <c r="C101" s="1">
        <v>45191</v>
      </c>
      <c r="D101" s="1">
        <v>45191</v>
      </c>
      <c r="E101">
        <v>2940</v>
      </c>
      <c r="F101">
        <v>2940</v>
      </c>
      <c r="G101">
        <v>0</v>
      </c>
      <c r="H101">
        <v>0</v>
      </c>
      <c r="I101" t="s">
        <v>340</v>
      </c>
      <c r="J101" t="s">
        <v>341</v>
      </c>
      <c r="K101" t="s">
        <v>19</v>
      </c>
      <c r="L101" t="s">
        <v>20</v>
      </c>
      <c r="M101">
        <v>95</v>
      </c>
      <c r="N101" t="s">
        <v>21</v>
      </c>
      <c r="O101" t="s">
        <v>22</v>
      </c>
      <c r="P101" t="s">
        <v>23</v>
      </c>
    </row>
    <row r="102" spans="1:16" x14ac:dyDescent="0.3">
      <c r="A102" t="s">
        <v>342</v>
      </c>
      <c r="B102" t="s">
        <v>343</v>
      </c>
      <c r="C102" s="1">
        <v>45191</v>
      </c>
      <c r="D102" s="1">
        <v>45191</v>
      </c>
      <c r="E102">
        <v>500</v>
      </c>
      <c r="F102">
        <v>500</v>
      </c>
      <c r="G102">
        <v>0</v>
      </c>
      <c r="H102">
        <v>0</v>
      </c>
      <c r="I102" t="s">
        <v>344</v>
      </c>
      <c r="J102" t="s">
        <v>345</v>
      </c>
      <c r="K102" t="s">
        <v>19</v>
      </c>
      <c r="L102" t="s">
        <v>20</v>
      </c>
      <c r="M102">
        <v>95</v>
      </c>
      <c r="N102" t="s">
        <v>21</v>
      </c>
      <c r="O102" t="s">
        <v>22</v>
      </c>
      <c r="P102" t="s">
        <v>23</v>
      </c>
    </row>
    <row r="103" spans="1:16" x14ac:dyDescent="0.3">
      <c r="A103" t="s">
        <v>346</v>
      </c>
      <c r="B103" t="s">
        <v>347</v>
      </c>
      <c r="C103" s="1">
        <v>45191</v>
      </c>
      <c r="D103" s="1">
        <v>45191</v>
      </c>
      <c r="E103">
        <v>400</v>
      </c>
      <c r="F103">
        <v>400</v>
      </c>
      <c r="G103">
        <v>0</v>
      </c>
      <c r="H103">
        <v>0</v>
      </c>
      <c r="I103" t="s">
        <v>81</v>
      </c>
      <c r="J103" t="s">
        <v>82</v>
      </c>
      <c r="K103" t="s">
        <v>19</v>
      </c>
      <c r="L103" t="s">
        <v>20</v>
      </c>
      <c r="M103">
        <v>95</v>
      </c>
      <c r="N103" t="s">
        <v>21</v>
      </c>
      <c r="O103" t="s">
        <v>22</v>
      </c>
      <c r="P103" t="s">
        <v>23</v>
      </c>
    </row>
    <row r="104" spans="1:16" x14ac:dyDescent="0.3">
      <c r="A104" t="s">
        <v>348</v>
      </c>
      <c r="B104" t="s">
        <v>349</v>
      </c>
      <c r="C104" s="1">
        <v>45191</v>
      </c>
      <c r="D104" s="1">
        <v>45191</v>
      </c>
      <c r="E104">
        <v>140</v>
      </c>
      <c r="F104">
        <v>140</v>
      </c>
      <c r="G104">
        <v>0</v>
      </c>
      <c r="H104">
        <v>0</v>
      </c>
      <c r="I104" t="s">
        <v>96</v>
      </c>
      <c r="J104" t="s">
        <v>97</v>
      </c>
      <c r="K104" t="s">
        <v>19</v>
      </c>
      <c r="L104" t="s">
        <v>20</v>
      </c>
      <c r="M104">
        <v>95</v>
      </c>
      <c r="N104" t="s">
        <v>21</v>
      </c>
      <c r="O104" t="s">
        <v>22</v>
      </c>
      <c r="P104" t="s">
        <v>23</v>
      </c>
    </row>
    <row r="105" spans="1:16" x14ac:dyDescent="0.3">
      <c r="A105" t="s">
        <v>350</v>
      </c>
      <c r="B105" t="s">
        <v>351</v>
      </c>
      <c r="C105" s="1">
        <v>45191</v>
      </c>
      <c r="D105" s="1">
        <v>45191</v>
      </c>
      <c r="E105">
        <v>40</v>
      </c>
      <c r="F105">
        <v>40</v>
      </c>
      <c r="G105">
        <v>0</v>
      </c>
      <c r="H105">
        <v>0</v>
      </c>
      <c r="I105" t="s">
        <v>352</v>
      </c>
      <c r="J105" t="s">
        <v>353</v>
      </c>
      <c r="K105" t="s">
        <v>19</v>
      </c>
      <c r="L105" t="s">
        <v>20</v>
      </c>
      <c r="M105">
        <v>95</v>
      </c>
      <c r="N105" t="s">
        <v>21</v>
      </c>
      <c r="O105" t="s">
        <v>22</v>
      </c>
      <c r="P105" t="s">
        <v>23</v>
      </c>
    </row>
    <row r="106" spans="1:16" x14ac:dyDescent="0.3">
      <c r="A106" t="s">
        <v>354</v>
      </c>
      <c r="B106" t="s">
        <v>355</v>
      </c>
      <c r="C106" s="1">
        <v>45192</v>
      </c>
      <c r="D106" s="1">
        <v>45192</v>
      </c>
      <c r="E106">
        <v>1280</v>
      </c>
      <c r="F106">
        <v>1280</v>
      </c>
      <c r="G106">
        <v>0</v>
      </c>
      <c r="H106">
        <v>0</v>
      </c>
      <c r="I106" t="s">
        <v>108</v>
      </c>
      <c r="J106" t="s">
        <v>109</v>
      </c>
      <c r="K106" t="s">
        <v>19</v>
      </c>
      <c r="L106" t="s">
        <v>110</v>
      </c>
      <c r="M106">
        <v>100</v>
      </c>
      <c r="N106" t="s">
        <v>21</v>
      </c>
      <c r="O106" t="s">
        <v>22</v>
      </c>
      <c r="P106" t="s">
        <v>23</v>
      </c>
    </row>
    <row r="107" spans="1:16" x14ac:dyDescent="0.3">
      <c r="A107" t="s">
        <v>356</v>
      </c>
      <c r="B107" t="s">
        <v>357</v>
      </c>
      <c r="C107" s="1">
        <v>45192</v>
      </c>
      <c r="D107" s="1">
        <v>45192</v>
      </c>
      <c r="E107">
        <v>20</v>
      </c>
      <c r="F107">
        <v>20</v>
      </c>
      <c r="G107">
        <v>0</v>
      </c>
      <c r="H107">
        <v>0</v>
      </c>
      <c r="I107" t="s">
        <v>358</v>
      </c>
      <c r="J107" t="s">
        <v>359</v>
      </c>
      <c r="K107" t="s">
        <v>19</v>
      </c>
      <c r="L107" t="s">
        <v>20</v>
      </c>
      <c r="M107">
        <v>95</v>
      </c>
      <c r="N107" t="s">
        <v>21</v>
      </c>
      <c r="O107" t="s">
        <v>22</v>
      </c>
      <c r="P107" t="s">
        <v>23</v>
      </c>
    </row>
    <row r="108" spans="1:16" x14ac:dyDescent="0.3">
      <c r="A108" t="s">
        <v>360</v>
      </c>
      <c r="B108" t="s">
        <v>361</v>
      </c>
      <c r="C108" s="1">
        <v>45192</v>
      </c>
      <c r="D108" s="1">
        <v>45192</v>
      </c>
      <c r="E108">
        <v>40</v>
      </c>
      <c r="F108">
        <v>40</v>
      </c>
      <c r="G108">
        <v>0</v>
      </c>
      <c r="H108">
        <v>0</v>
      </c>
      <c r="I108" t="s">
        <v>304</v>
      </c>
      <c r="J108" t="s">
        <v>305</v>
      </c>
      <c r="K108" t="s">
        <v>19</v>
      </c>
      <c r="L108" t="s">
        <v>20</v>
      </c>
      <c r="M108">
        <v>95</v>
      </c>
      <c r="N108" t="s">
        <v>21</v>
      </c>
      <c r="O108" t="s">
        <v>22</v>
      </c>
      <c r="P108" t="s">
        <v>23</v>
      </c>
    </row>
    <row r="109" spans="1:16" x14ac:dyDescent="0.3">
      <c r="A109" t="s">
        <v>362</v>
      </c>
      <c r="B109" t="s">
        <v>363</v>
      </c>
      <c r="C109" s="1">
        <v>45192</v>
      </c>
      <c r="D109" s="1">
        <v>45192</v>
      </c>
      <c r="E109">
        <v>17</v>
      </c>
      <c r="F109">
        <v>17</v>
      </c>
      <c r="G109">
        <v>0</v>
      </c>
      <c r="H109">
        <v>0</v>
      </c>
      <c r="I109" t="s">
        <v>81</v>
      </c>
      <c r="J109" t="s">
        <v>82</v>
      </c>
      <c r="K109" t="s">
        <v>19</v>
      </c>
      <c r="L109" t="s">
        <v>20</v>
      </c>
      <c r="M109">
        <v>95</v>
      </c>
      <c r="N109" t="s">
        <v>21</v>
      </c>
      <c r="O109" t="s">
        <v>22</v>
      </c>
      <c r="P109" t="s">
        <v>23</v>
      </c>
    </row>
    <row r="110" spans="1:16" x14ac:dyDescent="0.3">
      <c r="A110" t="s">
        <v>364</v>
      </c>
      <c r="B110" t="s">
        <v>365</v>
      </c>
      <c r="C110" s="1">
        <v>45192</v>
      </c>
      <c r="D110" s="1">
        <v>45192</v>
      </c>
      <c r="E110">
        <v>50</v>
      </c>
      <c r="F110">
        <v>50</v>
      </c>
      <c r="G110">
        <v>0</v>
      </c>
      <c r="H110">
        <v>0</v>
      </c>
      <c r="I110" t="s">
        <v>358</v>
      </c>
      <c r="J110" t="s">
        <v>359</v>
      </c>
      <c r="K110" t="s">
        <v>19</v>
      </c>
      <c r="L110" t="s">
        <v>20</v>
      </c>
      <c r="M110">
        <v>95</v>
      </c>
      <c r="N110" t="s">
        <v>21</v>
      </c>
      <c r="O110" t="s">
        <v>22</v>
      </c>
      <c r="P110" t="s">
        <v>23</v>
      </c>
    </row>
    <row r="111" spans="1:16" x14ac:dyDescent="0.3">
      <c r="A111" t="s">
        <v>366</v>
      </c>
      <c r="B111" t="s">
        <v>367</v>
      </c>
      <c r="C111" s="1">
        <v>45193</v>
      </c>
      <c r="D111" s="1">
        <v>45193</v>
      </c>
      <c r="E111">
        <v>110</v>
      </c>
      <c r="F111">
        <v>110</v>
      </c>
      <c r="G111">
        <v>0</v>
      </c>
      <c r="H111">
        <v>0</v>
      </c>
      <c r="I111" t="s">
        <v>304</v>
      </c>
      <c r="J111" t="s">
        <v>305</v>
      </c>
      <c r="K111" t="s">
        <v>19</v>
      </c>
      <c r="L111" t="s">
        <v>20</v>
      </c>
      <c r="M111">
        <v>95</v>
      </c>
      <c r="N111" t="s">
        <v>21</v>
      </c>
      <c r="O111" t="s">
        <v>22</v>
      </c>
      <c r="P111" t="s">
        <v>23</v>
      </c>
    </row>
    <row r="112" spans="1:16" x14ac:dyDescent="0.3">
      <c r="A112" t="s">
        <v>368</v>
      </c>
      <c r="B112" t="s">
        <v>369</v>
      </c>
      <c r="C112" s="1">
        <v>45194</v>
      </c>
      <c r="D112" s="1">
        <v>45194</v>
      </c>
      <c r="E112">
        <v>1100</v>
      </c>
      <c r="F112">
        <v>1100</v>
      </c>
      <c r="G112">
        <v>0</v>
      </c>
      <c r="H112">
        <v>0</v>
      </c>
      <c r="I112" t="s">
        <v>108</v>
      </c>
      <c r="J112" t="s">
        <v>109</v>
      </c>
      <c r="K112" t="s">
        <v>19</v>
      </c>
      <c r="L112" t="s">
        <v>110</v>
      </c>
      <c r="M112">
        <v>100</v>
      </c>
      <c r="N112" t="s">
        <v>21</v>
      </c>
      <c r="O112" t="s">
        <v>22</v>
      </c>
      <c r="P112" t="s">
        <v>23</v>
      </c>
    </row>
    <row r="113" spans="1:16" x14ac:dyDescent="0.3">
      <c r="A113" t="s">
        <v>370</v>
      </c>
      <c r="B113" t="s">
        <v>371</v>
      </c>
      <c r="C113" s="1">
        <v>45194</v>
      </c>
      <c r="D113" s="1">
        <v>45194</v>
      </c>
      <c r="E113">
        <v>20</v>
      </c>
      <c r="F113">
        <v>20</v>
      </c>
      <c r="G113">
        <v>0</v>
      </c>
      <c r="H113">
        <v>0</v>
      </c>
      <c r="I113" t="s">
        <v>372</v>
      </c>
      <c r="J113" t="s">
        <v>373</v>
      </c>
      <c r="K113" t="s">
        <v>19</v>
      </c>
      <c r="L113" t="s">
        <v>20</v>
      </c>
      <c r="M113">
        <v>95</v>
      </c>
      <c r="N113" t="s">
        <v>21</v>
      </c>
      <c r="O113" t="s">
        <v>22</v>
      </c>
      <c r="P113" t="s">
        <v>23</v>
      </c>
    </row>
    <row r="114" spans="1:16" x14ac:dyDescent="0.3">
      <c r="A114" t="s">
        <v>374</v>
      </c>
      <c r="B114" t="s">
        <v>375</v>
      </c>
      <c r="C114" s="1">
        <v>45194</v>
      </c>
      <c r="D114" s="1">
        <v>45194</v>
      </c>
      <c r="E114">
        <v>20</v>
      </c>
      <c r="F114">
        <v>20</v>
      </c>
      <c r="G114">
        <v>0</v>
      </c>
      <c r="H114">
        <v>0</v>
      </c>
      <c r="I114" t="s">
        <v>376</v>
      </c>
      <c r="J114" t="s">
        <v>377</v>
      </c>
      <c r="K114" t="s">
        <v>19</v>
      </c>
      <c r="L114" t="s">
        <v>20</v>
      </c>
      <c r="M114">
        <v>95</v>
      </c>
      <c r="N114" t="s">
        <v>21</v>
      </c>
      <c r="O114" t="s">
        <v>22</v>
      </c>
      <c r="P114" t="s">
        <v>23</v>
      </c>
    </row>
    <row r="115" spans="1:16" x14ac:dyDescent="0.3">
      <c r="A115" t="s">
        <v>378</v>
      </c>
      <c r="B115" t="s">
        <v>379</v>
      </c>
      <c r="C115" s="1">
        <v>45194</v>
      </c>
      <c r="D115" s="1">
        <v>45194</v>
      </c>
      <c r="E115">
        <v>40</v>
      </c>
      <c r="F115">
        <v>40</v>
      </c>
      <c r="G115">
        <v>0</v>
      </c>
      <c r="H115">
        <v>0</v>
      </c>
      <c r="I115" t="s">
        <v>380</v>
      </c>
      <c r="J115" t="s">
        <v>381</v>
      </c>
      <c r="K115" t="s">
        <v>19</v>
      </c>
      <c r="L115" t="s">
        <v>20</v>
      </c>
      <c r="M115">
        <v>95</v>
      </c>
      <c r="N115" t="s">
        <v>21</v>
      </c>
      <c r="O115" t="s">
        <v>22</v>
      </c>
      <c r="P115" t="s">
        <v>23</v>
      </c>
    </row>
    <row r="116" spans="1:16" x14ac:dyDescent="0.3">
      <c r="A116" t="s">
        <v>382</v>
      </c>
      <c r="B116" t="s">
        <v>383</v>
      </c>
      <c r="C116" s="1">
        <v>45195</v>
      </c>
      <c r="D116" s="1">
        <v>45195</v>
      </c>
      <c r="E116">
        <v>1</v>
      </c>
      <c r="F116">
        <v>1</v>
      </c>
      <c r="G116">
        <v>0</v>
      </c>
      <c r="H116">
        <v>0</v>
      </c>
      <c r="I116" t="s">
        <v>384</v>
      </c>
      <c r="J116" t="s">
        <v>385</v>
      </c>
      <c r="K116" t="s">
        <v>19</v>
      </c>
      <c r="L116" t="s">
        <v>20</v>
      </c>
      <c r="M116">
        <v>95</v>
      </c>
      <c r="N116" t="s">
        <v>21</v>
      </c>
      <c r="O116" t="s">
        <v>22</v>
      </c>
      <c r="P116" t="s">
        <v>23</v>
      </c>
    </row>
    <row r="117" spans="1:16" x14ac:dyDescent="0.3">
      <c r="A117" t="s">
        <v>386</v>
      </c>
      <c r="B117" t="s">
        <v>387</v>
      </c>
      <c r="C117" s="1">
        <v>45195</v>
      </c>
      <c r="D117" s="1">
        <v>45195</v>
      </c>
      <c r="E117">
        <v>3000</v>
      </c>
      <c r="F117">
        <v>3000</v>
      </c>
      <c r="G117">
        <v>0</v>
      </c>
      <c r="H117">
        <v>0</v>
      </c>
      <c r="I117" t="s">
        <v>388</v>
      </c>
      <c r="J117" t="s">
        <v>389</v>
      </c>
      <c r="K117" t="s">
        <v>19</v>
      </c>
      <c r="L117" t="s">
        <v>20</v>
      </c>
      <c r="M117">
        <v>95</v>
      </c>
      <c r="N117" t="s">
        <v>21</v>
      </c>
      <c r="O117" t="s">
        <v>22</v>
      </c>
      <c r="P117" t="s">
        <v>23</v>
      </c>
    </row>
    <row r="118" spans="1:16" x14ac:dyDescent="0.3">
      <c r="A118" t="s">
        <v>390</v>
      </c>
      <c r="B118" t="s">
        <v>391</v>
      </c>
      <c r="C118" s="1">
        <v>45195</v>
      </c>
      <c r="D118" s="1">
        <v>45195</v>
      </c>
      <c r="E118">
        <v>1000</v>
      </c>
      <c r="F118">
        <v>1000</v>
      </c>
      <c r="G118">
        <v>0</v>
      </c>
      <c r="H118">
        <v>0</v>
      </c>
      <c r="I118" t="s">
        <v>392</v>
      </c>
      <c r="J118" t="s">
        <v>393</v>
      </c>
      <c r="K118" t="s">
        <v>19</v>
      </c>
      <c r="L118" t="s">
        <v>20</v>
      </c>
      <c r="M118">
        <v>95</v>
      </c>
      <c r="N118" t="s">
        <v>21</v>
      </c>
      <c r="O118" t="s">
        <v>22</v>
      </c>
      <c r="P118" t="s">
        <v>23</v>
      </c>
    </row>
    <row r="119" spans="1:16" x14ac:dyDescent="0.3">
      <c r="A119" t="s">
        <v>394</v>
      </c>
      <c r="B119" t="s">
        <v>395</v>
      </c>
      <c r="C119" s="1">
        <v>45195</v>
      </c>
      <c r="D119" s="1">
        <v>45195</v>
      </c>
      <c r="E119">
        <v>400</v>
      </c>
      <c r="F119">
        <v>400</v>
      </c>
      <c r="G119">
        <v>0</v>
      </c>
      <c r="H119">
        <v>0</v>
      </c>
      <c r="I119" t="s">
        <v>396</v>
      </c>
      <c r="J119" t="s">
        <v>397</v>
      </c>
      <c r="K119" t="s">
        <v>19</v>
      </c>
      <c r="L119" t="s">
        <v>20</v>
      </c>
      <c r="M119">
        <v>95</v>
      </c>
      <c r="N119" t="s">
        <v>21</v>
      </c>
      <c r="O119" t="s">
        <v>22</v>
      </c>
      <c r="P119" t="s">
        <v>23</v>
      </c>
    </row>
    <row r="120" spans="1:16" x14ac:dyDescent="0.3">
      <c r="A120" t="s">
        <v>398</v>
      </c>
      <c r="B120" t="s">
        <v>399</v>
      </c>
      <c r="C120" s="1">
        <v>45196</v>
      </c>
      <c r="D120" s="1">
        <v>45196</v>
      </c>
      <c r="E120">
        <v>30</v>
      </c>
      <c r="F120">
        <v>30</v>
      </c>
      <c r="G120">
        <v>0</v>
      </c>
      <c r="H120">
        <v>0</v>
      </c>
      <c r="I120" t="s">
        <v>96</v>
      </c>
      <c r="J120" t="s">
        <v>97</v>
      </c>
      <c r="K120" t="s">
        <v>19</v>
      </c>
      <c r="L120" t="s">
        <v>20</v>
      </c>
      <c r="M120">
        <v>95</v>
      </c>
      <c r="N120" t="s">
        <v>21</v>
      </c>
      <c r="O120" t="s">
        <v>22</v>
      </c>
      <c r="P120" t="s">
        <v>23</v>
      </c>
    </row>
    <row r="121" spans="1:16" x14ac:dyDescent="0.3">
      <c r="A121" t="s">
        <v>400</v>
      </c>
      <c r="B121" t="s">
        <v>401</v>
      </c>
      <c r="C121" s="1">
        <v>45196</v>
      </c>
      <c r="D121" s="1">
        <v>45196</v>
      </c>
      <c r="E121">
        <v>200</v>
      </c>
      <c r="F121">
        <v>196</v>
      </c>
      <c r="G121">
        <v>-4</v>
      </c>
      <c r="H121">
        <v>0</v>
      </c>
      <c r="I121" t="s">
        <v>402</v>
      </c>
      <c r="J121" t="s">
        <v>403</v>
      </c>
      <c r="K121" t="s">
        <v>278</v>
      </c>
      <c r="L121" t="s">
        <v>404</v>
      </c>
      <c r="M121">
        <v>80</v>
      </c>
      <c r="N121" t="s">
        <v>93</v>
      </c>
      <c r="O121" t="s">
        <v>22</v>
      </c>
      <c r="P121" t="s">
        <v>23</v>
      </c>
    </row>
    <row r="122" spans="1:16" x14ac:dyDescent="0.3">
      <c r="A122" t="s">
        <v>405</v>
      </c>
      <c r="B122" t="s">
        <v>406</v>
      </c>
      <c r="C122" s="1">
        <v>45196</v>
      </c>
      <c r="D122" s="1">
        <v>45196</v>
      </c>
      <c r="E122">
        <v>200</v>
      </c>
      <c r="F122">
        <v>200</v>
      </c>
      <c r="G122">
        <v>0</v>
      </c>
      <c r="H122">
        <v>0</v>
      </c>
      <c r="I122" t="s">
        <v>407</v>
      </c>
      <c r="J122" t="s">
        <v>408</v>
      </c>
      <c r="K122" t="s">
        <v>91</v>
      </c>
      <c r="L122" t="s">
        <v>92</v>
      </c>
      <c r="M122">
        <v>85</v>
      </c>
      <c r="N122" t="s">
        <v>93</v>
      </c>
      <c r="O122" t="s">
        <v>22</v>
      </c>
      <c r="P122" t="s">
        <v>23</v>
      </c>
    </row>
    <row r="123" spans="1:16" x14ac:dyDescent="0.3">
      <c r="A123" t="s">
        <v>409</v>
      </c>
      <c r="B123" t="s">
        <v>410</v>
      </c>
      <c r="C123" s="1">
        <v>45196</v>
      </c>
      <c r="D123" s="1">
        <v>45196</v>
      </c>
      <c r="E123">
        <v>200</v>
      </c>
      <c r="F123">
        <v>200</v>
      </c>
      <c r="G123">
        <v>0</v>
      </c>
      <c r="H123">
        <v>0</v>
      </c>
      <c r="I123" t="s">
        <v>411</v>
      </c>
      <c r="J123" t="s">
        <v>412</v>
      </c>
      <c r="K123" t="s">
        <v>19</v>
      </c>
      <c r="L123" t="s">
        <v>20</v>
      </c>
      <c r="M123">
        <v>95</v>
      </c>
      <c r="N123" t="s">
        <v>21</v>
      </c>
      <c r="O123" t="s">
        <v>22</v>
      </c>
      <c r="P123" t="s">
        <v>23</v>
      </c>
    </row>
    <row r="124" spans="1:16" x14ac:dyDescent="0.3">
      <c r="A124" t="s">
        <v>413</v>
      </c>
      <c r="B124" t="s">
        <v>414</v>
      </c>
      <c r="C124" s="1">
        <v>45196</v>
      </c>
      <c r="D124" s="1">
        <v>45196</v>
      </c>
      <c r="E124">
        <v>400</v>
      </c>
      <c r="F124">
        <v>400</v>
      </c>
      <c r="G124">
        <v>0</v>
      </c>
      <c r="H124">
        <v>0</v>
      </c>
      <c r="I124" t="s">
        <v>108</v>
      </c>
      <c r="J124" t="s">
        <v>109</v>
      </c>
      <c r="K124" t="s">
        <v>19</v>
      </c>
      <c r="L124" t="s">
        <v>110</v>
      </c>
      <c r="M124">
        <v>100</v>
      </c>
      <c r="N124" t="s">
        <v>21</v>
      </c>
      <c r="O124" t="s">
        <v>22</v>
      </c>
      <c r="P124" t="s">
        <v>23</v>
      </c>
    </row>
    <row r="125" spans="1:16" x14ac:dyDescent="0.3">
      <c r="A125" t="s">
        <v>415</v>
      </c>
      <c r="B125" t="s">
        <v>416</v>
      </c>
      <c r="C125" s="1">
        <v>45196</v>
      </c>
      <c r="D125" s="1">
        <v>45196</v>
      </c>
      <c r="E125">
        <v>100</v>
      </c>
      <c r="F125">
        <v>100</v>
      </c>
      <c r="G125">
        <v>0</v>
      </c>
      <c r="H125">
        <v>0</v>
      </c>
      <c r="I125" t="s">
        <v>417</v>
      </c>
      <c r="J125" t="s">
        <v>418</v>
      </c>
      <c r="K125" t="s">
        <v>19</v>
      </c>
      <c r="L125" t="s">
        <v>20</v>
      </c>
      <c r="M125">
        <v>95</v>
      </c>
      <c r="N125" t="s">
        <v>21</v>
      </c>
      <c r="O125" t="s">
        <v>22</v>
      </c>
      <c r="P125" t="s">
        <v>23</v>
      </c>
    </row>
    <row r="126" spans="1:16" x14ac:dyDescent="0.3">
      <c r="A126" t="s">
        <v>419</v>
      </c>
      <c r="B126" t="s">
        <v>420</v>
      </c>
      <c r="C126" s="1">
        <v>45197</v>
      </c>
      <c r="D126" s="1">
        <v>45197</v>
      </c>
      <c r="E126">
        <v>1450</v>
      </c>
      <c r="F126">
        <v>1450</v>
      </c>
      <c r="G126">
        <v>0</v>
      </c>
      <c r="H126">
        <v>0</v>
      </c>
      <c r="I126" t="s">
        <v>108</v>
      </c>
      <c r="J126" t="s">
        <v>109</v>
      </c>
      <c r="K126" t="s">
        <v>19</v>
      </c>
      <c r="L126" t="s">
        <v>110</v>
      </c>
      <c r="M126">
        <v>100</v>
      </c>
      <c r="N126" t="s">
        <v>21</v>
      </c>
      <c r="O126" t="s">
        <v>22</v>
      </c>
      <c r="P126" t="s">
        <v>23</v>
      </c>
    </row>
    <row r="127" spans="1:16" x14ac:dyDescent="0.3">
      <c r="A127" t="s">
        <v>421</v>
      </c>
      <c r="B127" t="s">
        <v>422</v>
      </c>
      <c r="C127" s="1">
        <v>45197</v>
      </c>
      <c r="D127" s="1">
        <v>45197</v>
      </c>
      <c r="E127">
        <v>1280</v>
      </c>
      <c r="F127">
        <v>1280</v>
      </c>
      <c r="G127">
        <v>0</v>
      </c>
      <c r="H127">
        <v>0</v>
      </c>
      <c r="I127" t="s">
        <v>423</v>
      </c>
      <c r="J127" t="s">
        <v>424</v>
      </c>
      <c r="K127" t="s">
        <v>19</v>
      </c>
      <c r="L127" t="s">
        <v>20</v>
      </c>
      <c r="M127">
        <v>95</v>
      </c>
      <c r="N127" t="s">
        <v>21</v>
      </c>
      <c r="O127" t="s">
        <v>22</v>
      </c>
      <c r="P127" t="s">
        <v>23</v>
      </c>
    </row>
    <row r="128" spans="1:16" x14ac:dyDescent="0.3">
      <c r="A128" t="s">
        <v>425</v>
      </c>
      <c r="B128" t="s">
        <v>426</v>
      </c>
      <c r="C128" s="1">
        <v>45197</v>
      </c>
      <c r="D128" s="1">
        <v>45197</v>
      </c>
      <c r="E128">
        <v>10</v>
      </c>
      <c r="F128">
        <v>10</v>
      </c>
      <c r="G128">
        <v>0</v>
      </c>
      <c r="H128">
        <v>0</v>
      </c>
      <c r="I128" t="s">
        <v>427</v>
      </c>
      <c r="J128" t="s">
        <v>428</v>
      </c>
      <c r="K128" t="s">
        <v>19</v>
      </c>
      <c r="L128" t="s">
        <v>20</v>
      </c>
      <c r="M128">
        <v>95</v>
      </c>
      <c r="N128" t="s">
        <v>21</v>
      </c>
      <c r="O128" t="s">
        <v>22</v>
      </c>
      <c r="P128" t="s">
        <v>23</v>
      </c>
    </row>
    <row r="129" spans="1:16" x14ac:dyDescent="0.3">
      <c r="A129" t="s">
        <v>429</v>
      </c>
      <c r="B129" t="s">
        <v>430</v>
      </c>
      <c r="C129" s="1">
        <v>45198</v>
      </c>
      <c r="D129" s="1">
        <v>45198</v>
      </c>
      <c r="E129">
        <v>600</v>
      </c>
      <c r="F129">
        <v>600</v>
      </c>
      <c r="G129">
        <v>0</v>
      </c>
      <c r="H129">
        <v>0</v>
      </c>
      <c r="I129" t="s">
        <v>108</v>
      </c>
      <c r="J129" t="s">
        <v>109</v>
      </c>
      <c r="K129" t="s">
        <v>19</v>
      </c>
      <c r="L129" t="s">
        <v>110</v>
      </c>
      <c r="M129">
        <v>100</v>
      </c>
      <c r="N129" t="s">
        <v>21</v>
      </c>
      <c r="O129" t="s">
        <v>22</v>
      </c>
      <c r="P129" t="s">
        <v>23</v>
      </c>
    </row>
    <row r="130" spans="1:16" x14ac:dyDescent="0.3">
      <c r="A130" t="s">
        <v>431</v>
      </c>
      <c r="B130" t="s">
        <v>432</v>
      </c>
      <c r="C130" s="1">
        <v>45198</v>
      </c>
      <c r="D130" s="1">
        <v>45198</v>
      </c>
      <c r="E130">
        <v>500</v>
      </c>
      <c r="F130">
        <v>500</v>
      </c>
      <c r="G130">
        <v>0</v>
      </c>
      <c r="H130">
        <v>0</v>
      </c>
      <c r="I130" t="s">
        <v>433</v>
      </c>
      <c r="J130" t="s">
        <v>434</v>
      </c>
      <c r="K130" t="s">
        <v>19</v>
      </c>
      <c r="L130" t="s">
        <v>20</v>
      </c>
      <c r="M130">
        <v>95</v>
      </c>
      <c r="N130" t="s">
        <v>21</v>
      </c>
      <c r="O130" t="s">
        <v>22</v>
      </c>
      <c r="P130" t="s">
        <v>23</v>
      </c>
    </row>
    <row r="131" spans="1:16" x14ac:dyDescent="0.3">
      <c r="A131" t="s">
        <v>435</v>
      </c>
      <c r="B131" t="s">
        <v>436</v>
      </c>
      <c r="C131" s="1">
        <v>45199</v>
      </c>
      <c r="D131" s="1">
        <v>45199</v>
      </c>
      <c r="E131">
        <v>480</v>
      </c>
      <c r="F131">
        <v>480</v>
      </c>
      <c r="G131">
        <v>0</v>
      </c>
      <c r="H131">
        <v>0</v>
      </c>
      <c r="I131" t="s">
        <v>108</v>
      </c>
      <c r="J131" t="s">
        <v>109</v>
      </c>
      <c r="K131" t="s">
        <v>19</v>
      </c>
      <c r="L131" t="s">
        <v>110</v>
      </c>
      <c r="M131">
        <v>100</v>
      </c>
      <c r="N131" t="s">
        <v>21</v>
      </c>
      <c r="O131" t="s">
        <v>22</v>
      </c>
      <c r="P131" t="s">
        <v>23</v>
      </c>
    </row>
    <row r="132" spans="1:16" x14ac:dyDescent="0.3">
      <c r="A132" t="s">
        <v>437</v>
      </c>
      <c r="B132" t="s">
        <v>438</v>
      </c>
      <c r="C132" s="1">
        <v>45199</v>
      </c>
      <c r="D132" s="1">
        <v>45199</v>
      </c>
      <c r="E132">
        <v>150</v>
      </c>
      <c r="F132">
        <v>150</v>
      </c>
      <c r="G132">
        <v>0</v>
      </c>
      <c r="H132">
        <v>0</v>
      </c>
      <c r="I132" t="s">
        <v>96</v>
      </c>
      <c r="J132" t="s">
        <v>97</v>
      </c>
      <c r="K132" t="s">
        <v>19</v>
      </c>
      <c r="L132" t="s">
        <v>20</v>
      </c>
      <c r="M132">
        <v>95</v>
      </c>
      <c r="N132" t="s">
        <v>21</v>
      </c>
      <c r="O132" t="s">
        <v>22</v>
      </c>
      <c r="P132" t="s">
        <v>23</v>
      </c>
    </row>
    <row r="133" spans="1:16" x14ac:dyDescent="0.3">
      <c r="A133" t="s">
        <v>439</v>
      </c>
      <c r="B133" t="s">
        <v>440</v>
      </c>
      <c r="C133" s="1">
        <v>45199</v>
      </c>
      <c r="D133" s="1">
        <v>45199</v>
      </c>
      <c r="E133">
        <v>35</v>
      </c>
      <c r="F133">
        <v>35</v>
      </c>
      <c r="G133">
        <v>0</v>
      </c>
      <c r="H133">
        <v>0</v>
      </c>
      <c r="I133" t="s">
        <v>441</v>
      </c>
      <c r="J133" t="s">
        <v>442</v>
      </c>
      <c r="K133" t="s">
        <v>19</v>
      </c>
      <c r="L133" t="s">
        <v>20</v>
      </c>
      <c r="M133">
        <v>95</v>
      </c>
      <c r="N133" t="s">
        <v>21</v>
      </c>
      <c r="O133" t="s">
        <v>22</v>
      </c>
      <c r="P133" t="s">
        <v>23</v>
      </c>
    </row>
    <row r="134" spans="1:16" x14ac:dyDescent="0.3">
      <c r="A134" t="s">
        <v>443</v>
      </c>
      <c r="B134" t="s">
        <v>444</v>
      </c>
      <c r="C134" s="1">
        <v>45199</v>
      </c>
      <c r="D134" s="1">
        <v>45199</v>
      </c>
      <c r="E134">
        <v>130</v>
      </c>
      <c r="F134">
        <v>130</v>
      </c>
      <c r="G134">
        <v>0</v>
      </c>
      <c r="H134">
        <v>0</v>
      </c>
      <c r="I134" t="s">
        <v>445</v>
      </c>
      <c r="J134" t="s">
        <v>446</v>
      </c>
      <c r="K134" t="s">
        <v>19</v>
      </c>
      <c r="L134" t="s">
        <v>20</v>
      </c>
      <c r="M134">
        <v>95</v>
      </c>
      <c r="N134" t="s">
        <v>21</v>
      </c>
      <c r="O134" t="s">
        <v>22</v>
      </c>
      <c r="P134" t="s">
        <v>23</v>
      </c>
    </row>
    <row r="135" spans="1:16" x14ac:dyDescent="0.3">
      <c r="A135" t="s">
        <v>447</v>
      </c>
      <c r="B135" t="s">
        <v>448</v>
      </c>
      <c r="C135" s="1">
        <v>45199</v>
      </c>
      <c r="D135" s="1">
        <v>45199</v>
      </c>
      <c r="E135">
        <v>50</v>
      </c>
      <c r="F135">
        <v>50</v>
      </c>
      <c r="G135">
        <v>0</v>
      </c>
      <c r="H135">
        <v>0</v>
      </c>
      <c r="I135" t="s">
        <v>81</v>
      </c>
      <c r="J135" t="s">
        <v>82</v>
      </c>
      <c r="K135" t="s">
        <v>19</v>
      </c>
      <c r="L135" t="s">
        <v>20</v>
      </c>
      <c r="M135">
        <v>95</v>
      </c>
      <c r="N135" t="s">
        <v>21</v>
      </c>
      <c r="O135" t="s">
        <v>22</v>
      </c>
      <c r="P135" t="s">
        <v>23</v>
      </c>
    </row>
    <row r="136" spans="1:16" x14ac:dyDescent="0.3">
      <c r="A136" t="s">
        <v>449</v>
      </c>
      <c r="B136" t="s">
        <v>450</v>
      </c>
      <c r="C136" s="1">
        <v>45199</v>
      </c>
      <c r="D136" s="1">
        <v>45199</v>
      </c>
      <c r="E136">
        <v>10</v>
      </c>
      <c r="F136">
        <v>10</v>
      </c>
      <c r="G136">
        <v>0</v>
      </c>
      <c r="H136">
        <v>0</v>
      </c>
      <c r="I136" t="s">
        <v>153</v>
      </c>
      <c r="J136" t="s">
        <v>153</v>
      </c>
      <c r="K136" t="s">
        <v>19</v>
      </c>
      <c r="L136" t="s">
        <v>20</v>
      </c>
      <c r="M136">
        <v>95</v>
      </c>
      <c r="N136" t="s">
        <v>21</v>
      </c>
      <c r="O136" t="s">
        <v>22</v>
      </c>
      <c r="P136" t="s">
        <v>23</v>
      </c>
    </row>
    <row r="137" spans="1:16" x14ac:dyDescent="0.3">
      <c r="A137" t="s">
        <v>451</v>
      </c>
      <c r="B137" t="s">
        <v>452</v>
      </c>
      <c r="C137" s="1">
        <v>45200</v>
      </c>
      <c r="D137" s="1">
        <v>45200</v>
      </c>
      <c r="E137">
        <v>700</v>
      </c>
      <c r="F137">
        <v>700</v>
      </c>
      <c r="G137">
        <v>0</v>
      </c>
      <c r="H137">
        <v>0</v>
      </c>
      <c r="I137" t="s">
        <v>108</v>
      </c>
      <c r="J137" t="s">
        <v>109</v>
      </c>
      <c r="K137" t="s">
        <v>19</v>
      </c>
      <c r="L137" t="s">
        <v>110</v>
      </c>
      <c r="M137">
        <v>100</v>
      </c>
      <c r="N137" t="s">
        <v>21</v>
      </c>
      <c r="O137" t="s">
        <v>22</v>
      </c>
      <c r="P137" t="s">
        <v>23</v>
      </c>
    </row>
    <row r="138" spans="1:16" x14ac:dyDescent="0.3">
      <c r="A138" t="s">
        <v>453</v>
      </c>
      <c r="B138" t="s">
        <v>454</v>
      </c>
      <c r="C138" s="1">
        <v>45200</v>
      </c>
      <c r="D138" s="1">
        <v>45200</v>
      </c>
      <c r="E138">
        <v>4550</v>
      </c>
      <c r="F138">
        <v>4550</v>
      </c>
      <c r="G138">
        <v>0</v>
      </c>
      <c r="H138">
        <v>0</v>
      </c>
      <c r="I138" t="s">
        <v>89</v>
      </c>
      <c r="J138" t="s">
        <v>90</v>
      </c>
      <c r="K138" t="s">
        <v>19</v>
      </c>
      <c r="L138" t="s">
        <v>20</v>
      </c>
      <c r="M138">
        <v>95</v>
      </c>
      <c r="N138" t="s">
        <v>21</v>
      </c>
      <c r="O138" t="s">
        <v>22</v>
      </c>
      <c r="P138" t="s">
        <v>23</v>
      </c>
    </row>
    <row r="139" spans="1:16" x14ac:dyDescent="0.3">
      <c r="A139" t="s">
        <v>455</v>
      </c>
      <c r="B139" t="s">
        <v>456</v>
      </c>
      <c r="C139" s="1">
        <v>45200</v>
      </c>
      <c r="D139" s="1">
        <v>45200</v>
      </c>
      <c r="E139">
        <v>1</v>
      </c>
      <c r="F139">
        <v>1</v>
      </c>
      <c r="G139">
        <v>0</v>
      </c>
      <c r="H139">
        <v>0</v>
      </c>
      <c r="I139" t="s">
        <v>457</v>
      </c>
      <c r="J139" t="s">
        <v>458</v>
      </c>
      <c r="K139" t="s">
        <v>19</v>
      </c>
      <c r="L139" t="s">
        <v>20</v>
      </c>
      <c r="M139">
        <v>95</v>
      </c>
      <c r="N139" t="s">
        <v>21</v>
      </c>
      <c r="O139" t="s">
        <v>22</v>
      </c>
      <c r="P139" t="s">
        <v>23</v>
      </c>
    </row>
    <row r="140" spans="1:16" x14ac:dyDescent="0.3">
      <c r="A140" t="s">
        <v>459</v>
      </c>
      <c r="B140" t="s">
        <v>460</v>
      </c>
      <c r="C140" s="1">
        <v>45200</v>
      </c>
      <c r="D140" s="1">
        <v>45200</v>
      </c>
      <c r="E140">
        <v>4000</v>
      </c>
      <c r="F140">
        <v>4000</v>
      </c>
      <c r="G140">
        <v>0</v>
      </c>
      <c r="H140">
        <v>0</v>
      </c>
      <c r="I140" t="s">
        <v>461</v>
      </c>
      <c r="J140" t="s">
        <v>462</v>
      </c>
      <c r="K140" t="s">
        <v>19</v>
      </c>
      <c r="L140" t="s">
        <v>20</v>
      </c>
      <c r="M140">
        <v>95</v>
      </c>
      <c r="N140" t="s">
        <v>21</v>
      </c>
      <c r="O140" t="s">
        <v>22</v>
      </c>
      <c r="P140" t="s">
        <v>23</v>
      </c>
    </row>
    <row r="141" spans="1:16" x14ac:dyDescent="0.3">
      <c r="A141" t="s">
        <v>463</v>
      </c>
      <c r="B141" t="s">
        <v>464</v>
      </c>
      <c r="C141" s="1">
        <v>45200</v>
      </c>
      <c r="D141" s="1">
        <v>45200</v>
      </c>
      <c r="E141">
        <v>540</v>
      </c>
      <c r="F141">
        <v>540</v>
      </c>
      <c r="G141">
        <v>0</v>
      </c>
      <c r="H141">
        <v>0</v>
      </c>
      <c r="I141" t="s">
        <v>81</v>
      </c>
      <c r="J141" t="s">
        <v>82</v>
      </c>
      <c r="K141" t="s">
        <v>19</v>
      </c>
      <c r="L141" t="s">
        <v>20</v>
      </c>
      <c r="M141">
        <v>95</v>
      </c>
      <c r="N141" t="s">
        <v>21</v>
      </c>
      <c r="O141" t="s">
        <v>22</v>
      </c>
      <c r="P141" t="s">
        <v>23</v>
      </c>
    </row>
    <row r="142" spans="1:16" x14ac:dyDescent="0.3">
      <c r="A142" t="s">
        <v>465</v>
      </c>
      <c r="B142" t="s">
        <v>466</v>
      </c>
      <c r="C142" s="1">
        <v>45200</v>
      </c>
      <c r="D142" s="1">
        <v>45200</v>
      </c>
      <c r="E142">
        <v>50</v>
      </c>
      <c r="F142">
        <v>50</v>
      </c>
      <c r="G142">
        <v>0</v>
      </c>
      <c r="H142">
        <v>0</v>
      </c>
      <c r="I142" t="s">
        <v>81</v>
      </c>
      <c r="J142" t="s">
        <v>82</v>
      </c>
      <c r="K142" t="s">
        <v>19</v>
      </c>
      <c r="L142" t="s">
        <v>20</v>
      </c>
      <c r="M142">
        <v>95</v>
      </c>
      <c r="N142" t="s">
        <v>21</v>
      </c>
      <c r="O142" t="s">
        <v>22</v>
      </c>
      <c r="P142" t="s">
        <v>23</v>
      </c>
    </row>
    <row r="143" spans="1:16" x14ac:dyDescent="0.3">
      <c r="A143" t="s">
        <v>467</v>
      </c>
      <c r="B143" t="s">
        <v>468</v>
      </c>
      <c r="C143" s="1">
        <v>45200</v>
      </c>
      <c r="D143" s="1">
        <v>45200</v>
      </c>
      <c r="E143">
        <v>540</v>
      </c>
      <c r="F143">
        <v>540</v>
      </c>
      <c r="G143">
        <v>0</v>
      </c>
      <c r="H143">
        <v>0</v>
      </c>
      <c r="I143" t="s">
        <v>89</v>
      </c>
      <c r="J143" t="s">
        <v>90</v>
      </c>
      <c r="K143" t="s">
        <v>19</v>
      </c>
      <c r="L143" t="s">
        <v>20</v>
      </c>
      <c r="M143">
        <v>95</v>
      </c>
      <c r="N143" t="s">
        <v>21</v>
      </c>
      <c r="O143" t="s">
        <v>22</v>
      </c>
      <c r="P143" t="s">
        <v>23</v>
      </c>
    </row>
    <row r="144" spans="1:16" x14ac:dyDescent="0.3">
      <c r="A144" t="s">
        <v>469</v>
      </c>
      <c r="B144" t="s">
        <v>470</v>
      </c>
      <c r="C144" s="1">
        <v>45201</v>
      </c>
      <c r="D144" s="1">
        <v>45201</v>
      </c>
      <c r="E144">
        <v>370</v>
      </c>
      <c r="F144">
        <v>370</v>
      </c>
      <c r="G144">
        <v>0</v>
      </c>
      <c r="H144">
        <v>0</v>
      </c>
      <c r="I144" t="s">
        <v>471</v>
      </c>
      <c r="J144" t="s">
        <v>472</v>
      </c>
      <c r="K144" t="s">
        <v>19</v>
      </c>
      <c r="L144" t="s">
        <v>20</v>
      </c>
      <c r="M144">
        <v>95</v>
      </c>
      <c r="N144" t="s">
        <v>21</v>
      </c>
      <c r="O144" t="s">
        <v>22</v>
      </c>
      <c r="P144" t="s">
        <v>23</v>
      </c>
    </row>
    <row r="145" spans="1:16" x14ac:dyDescent="0.3">
      <c r="A145" t="s">
        <v>473</v>
      </c>
      <c r="B145" t="s">
        <v>474</v>
      </c>
      <c r="C145" s="1">
        <v>45202</v>
      </c>
      <c r="D145" s="1">
        <v>45202</v>
      </c>
      <c r="E145">
        <v>19</v>
      </c>
      <c r="F145">
        <v>19</v>
      </c>
      <c r="G145">
        <v>0</v>
      </c>
      <c r="H145">
        <v>0</v>
      </c>
      <c r="I145" t="s">
        <v>300</v>
      </c>
      <c r="J145" t="s">
        <v>301</v>
      </c>
      <c r="K145" t="s">
        <v>19</v>
      </c>
      <c r="L145" t="s">
        <v>20</v>
      </c>
      <c r="M145">
        <v>95</v>
      </c>
      <c r="N145" t="s">
        <v>21</v>
      </c>
      <c r="O145" t="s">
        <v>22</v>
      </c>
      <c r="P145" t="s">
        <v>23</v>
      </c>
    </row>
    <row r="146" spans="1:16" x14ac:dyDescent="0.3">
      <c r="A146" t="s">
        <v>475</v>
      </c>
      <c r="B146" t="s">
        <v>476</v>
      </c>
      <c r="C146" s="1">
        <v>45202</v>
      </c>
      <c r="D146" s="1">
        <v>45202</v>
      </c>
      <c r="E146">
        <v>600</v>
      </c>
      <c r="F146">
        <v>600</v>
      </c>
      <c r="G146">
        <v>0</v>
      </c>
      <c r="H146">
        <v>0</v>
      </c>
      <c r="I146" t="s">
        <v>108</v>
      </c>
      <c r="J146" t="s">
        <v>109</v>
      </c>
      <c r="K146" t="s">
        <v>19</v>
      </c>
      <c r="L146" t="s">
        <v>110</v>
      </c>
      <c r="M146">
        <v>100</v>
      </c>
      <c r="N146" t="s">
        <v>21</v>
      </c>
      <c r="O146" t="s">
        <v>22</v>
      </c>
      <c r="P146" t="s">
        <v>23</v>
      </c>
    </row>
    <row r="147" spans="1:16" x14ac:dyDescent="0.3">
      <c r="A147" t="s">
        <v>477</v>
      </c>
      <c r="B147" t="s">
        <v>478</v>
      </c>
      <c r="C147" s="1">
        <v>45202</v>
      </c>
      <c r="D147" s="1">
        <v>45202</v>
      </c>
      <c r="E147">
        <v>10</v>
      </c>
      <c r="F147">
        <v>10</v>
      </c>
      <c r="G147">
        <v>0</v>
      </c>
      <c r="H147">
        <v>0</v>
      </c>
      <c r="I147" t="s">
        <v>479</v>
      </c>
      <c r="J147" t="s">
        <v>480</v>
      </c>
      <c r="K147" t="s">
        <v>19</v>
      </c>
      <c r="L147" t="s">
        <v>20</v>
      </c>
      <c r="M147">
        <v>95</v>
      </c>
      <c r="N147" t="s">
        <v>21</v>
      </c>
      <c r="O147" t="s">
        <v>22</v>
      </c>
      <c r="P147" t="s">
        <v>23</v>
      </c>
    </row>
    <row r="148" spans="1:16" x14ac:dyDescent="0.3">
      <c r="A148" t="s">
        <v>481</v>
      </c>
      <c r="B148" t="s">
        <v>482</v>
      </c>
      <c r="C148" s="1">
        <v>45203</v>
      </c>
      <c r="D148" s="1">
        <v>45203</v>
      </c>
      <c r="E148">
        <v>250</v>
      </c>
      <c r="F148">
        <v>250</v>
      </c>
      <c r="G148">
        <v>0</v>
      </c>
      <c r="H148">
        <v>0</v>
      </c>
      <c r="I148" t="s">
        <v>108</v>
      </c>
      <c r="J148" t="s">
        <v>109</v>
      </c>
      <c r="K148" t="s">
        <v>19</v>
      </c>
      <c r="L148" t="s">
        <v>110</v>
      </c>
      <c r="M148">
        <v>100</v>
      </c>
      <c r="N148" t="s">
        <v>21</v>
      </c>
      <c r="O148" t="s">
        <v>22</v>
      </c>
      <c r="P148" t="s">
        <v>23</v>
      </c>
    </row>
    <row r="149" spans="1:16" x14ac:dyDescent="0.3">
      <c r="A149" t="s">
        <v>483</v>
      </c>
      <c r="B149" t="s">
        <v>484</v>
      </c>
      <c r="C149" s="1">
        <v>45203</v>
      </c>
      <c r="D149" s="1">
        <v>45203</v>
      </c>
      <c r="E149">
        <v>40</v>
      </c>
      <c r="F149">
        <v>40</v>
      </c>
      <c r="G149">
        <v>0</v>
      </c>
      <c r="H149">
        <v>0</v>
      </c>
      <c r="I149" t="s">
        <v>485</v>
      </c>
      <c r="J149" t="s">
        <v>486</v>
      </c>
      <c r="K149" t="s">
        <v>19</v>
      </c>
      <c r="L149" t="s">
        <v>20</v>
      </c>
      <c r="M149">
        <v>95</v>
      </c>
      <c r="N149" t="s">
        <v>21</v>
      </c>
      <c r="O149" t="s">
        <v>22</v>
      </c>
      <c r="P149" t="s">
        <v>23</v>
      </c>
    </row>
    <row r="150" spans="1:16" x14ac:dyDescent="0.3">
      <c r="A150" t="s">
        <v>487</v>
      </c>
      <c r="B150" t="s">
        <v>488</v>
      </c>
      <c r="C150" s="1">
        <v>45203</v>
      </c>
      <c r="D150" s="1">
        <v>45203</v>
      </c>
      <c r="E150">
        <v>10</v>
      </c>
      <c r="F150">
        <v>10</v>
      </c>
      <c r="G150">
        <v>0</v>
      </c>
      <c r="H150">
        <v>0</v>
      </c>
      <c r="I150" t="s">
        <v>489</v>
      </c>
      <c r="J150" t="s">
        <v>490</v>
      </c>
      <c r="K150" t="s">
        <v>19</v>
      </c>
      <c r="L150" t="s">
        <v>20</v>
      </c>
      <c r="M150">
        <v>95</v>
      </c>
      <c r="N150" t="s">
        <v>21</v>
      </c>
      <c r="O150" t="s">
        <v>22</v>
      </c>
      <c r="P150" t="s">
        <v>23</v>
      </c>
    </row>
    <row r="151" spans="1:16" x14ac:dyDescent="0.3">
      <c r="A151" t="s">
        <v>491</v>
      </c>
      <c r="B151" t="s">
        <v>492</v>
      </c>
      <c r="C151" s="1">
        <v>45203</v>
      </c>
      <c r="D151" s="1">
        <v>45203</v>
      </c>
      <c r="E151">
        <v>30</v>
      </c>
      <c r="F151">
        <v>30</v>
      </c>
      <c r="G151">
        <v>0</v>
      </c>
      <c r="H151">
        <v>0</v>
      </c>
      <c r="I151" t="s">
        <v>493</v>
      </c>
      <c r="J151" t="s">
        <v>494</v>
      </c>
      <c r="K151" t="s">
        <v>19</v>
      </c>
      <c r="L151" t="s">
        <v>20</v>
      </c>
      <c r="M151">
        <v>95</v>
      </c>
      <c r="N151" t="s">
        <v>21</v>
      </c>
      <c r="O151" t="s">
        <v>22</v>
      </c>
      <c r="P151" t="s">
        <v>23</v>
      </c>
    </row>
    <row r="152" spans="1:16" x14ac:dyDescent="0.3">
      <c r="A152" t="s">
        <v>495</v>
      </c>
      <c r="B152" t="s">
        <v>496</v>
      </c>
      <c r="C152" s="1">
        <v>45204</v>
      </c>
      <c r="D152" s="1">
        <v>45227</v>
      </c>
      <c r="E152">
        <v>400</v>
      </c>
      <c r="F152">
        <v>400</v>
      </c>
      <c r="G152">
        <v>0</v>
      </c>
      <c r="H152">
        <v>23</v>
      </c>
      <c r="I152" t="s">
        <v>108</v>
      </c>
      <c r="J152" t="s">
        <v>109</v>
      </c>
      <c r="K152" t="s">
        <v>91</v>
      </c>
      <c r="L152" t="s">
        <v>497</v>
      </c>
      <c r="M152">
        <v>60</v>
      </c>
      <c r="N152" t="s">
        <v>164</v>
      </c>
      <c r="O152" t="s">
        <v>22</v>
      </c>
      <c r="P152" t="s">
        <v>23</v>
      </c>
    </row>
    <row r="153" spans="1:16" x14ac:dyDescent="0.3">
      <c r="A153" t="s">
        <v>498</v>
      </c>
      <c r="B153" t="s">
        <v>499</v>
      </c>
      <c r="C153" s="1">
        <v>45204</v>
      </c>
      <c r="D153" s="1">
        <v>45204</v>
      </c>
      <c r="E153">
        <v>200</v>
      </c>
      <c r="F153">
        <v>200</v>
      </c>
      <c r="G153">
        <v>0</v>
      </c>
      <c r="H153">
        <v>0</v>
      </c>
      <c r="I153" t="s">
        <v>500</v>
      </c>
      <c r="J153" t="s">
        <v>501</v>
      </c>
      <c r="K153" t="s">
        <v>19</v>
      </c>
      <c r="L153" t="s">
        <v>20</v>
      </c>
      <c r="M153">
        <v>95</v>
      </c>
      <c r="N153" t="s">
        <v>21</v>
      </c>
      <c r="O153" t="s">
        <v>22</v>
      </c>
      <c r="P153" t="s">
        <v>23</v>
      </c>
    </row>
    <row r="154" spans="1:16" x14ac:dyDescent="0.3">
      <c r="A154" t="s">
        <v>502</v>
      </c>
      <c r="B154" t="s">
        <v>503</v>
      </c>
      <c r="C154" s="1">
        <v>45204</v>
      </c>
      <c r="D154" s="1">
        <v>45204</v>
      </c>
      <c r="E154">
        <v>30</v>
      </c>
      <c r="F154">
        <v>30</v>
      </c>
      <c r="G154">
        <v>0</v>
      </c>
      <c r="H154">
        <v>0</v>
      </c>
      <c r="I154" t="s">
        <v>504</v>
      </c>
      <c r="J154" t="s">
        <v>505</v>
      </c>
      <c r="K154" t="s">
        <v>19</v>
      </c>
      <c r="L154" t="s">
        <v>20</v>
      </c>
      <c r="M154">
        <v>95</v>
      </c>
      <c r="N154" t="s">
        <v>21</v>
      </c>
      <c r="O154" t="s">
        <v>22</v>
      </c>
      <c r="P154" t="s">
        <v>23</v>
      </c>
    </row>
    <row r="155" spans="1:16" x14ac:dyDescent="0.3">
      <c r="A155" t="s">
        <v>506</v>
      </c>
      <c r="B155" t="s">
        <v>507</v>
      </c>
      <c r="C155" s="1">
        <v>45204</v>
      </c>
      <c r="D155" s="1">
        <v>45204</v>
      </c>
      <c r="E155">
        <v>160</v>
      </c>
      <c r="F155">
        <v>160</v>
      </c>
      <c r="G155">
        <v>0</v>
      </c>
      <c r="H155">
        <v>0</v>
      </c>
      <c r="I155" t="s">
        <v>508</v>
      </c>
      <c r="J155" t="s">
        <v>509</v>
      </c>
      <c r="K155" t="s">
        <v>19</v>
      </c>
      <c r="L155" t="s">
        <v>20</v>
      </c>
      <c r="M155">
        <v>95</v>
      </c>
      <c r="N155" t="s">
        <v>21</v>
      </c>
      <c r="O155" t="s">
        <v>22</v>
      </c>
      <c r="P155" t="s">
        <v>23</v>
      </c>
    </row>
    <row r="156" spans="1:16" x14ac:dyDescent="0.3">
      <c r="A156" t="s">
        <v>510</v>
      </c>
      <c r="B156" t="s">
        <v>511</v>
      </c>
      <c r="C156" s="1">
        <v>45205</v>
      </c>
      <c r="D156" s="1">
        <v>45205</v>
      </c>
      <c r="E156">
        <v>226</v>
      </c>
      <c r="F156">
        <v>226</v>
      </c>
      <c r="G156">
        <v>0</v>
      </c>
      <c r="H156">
        <v>0</v>
      </c>
      <c r="I156" t="s">
        <v>512</v>
      </c>
      <c r="J156" t="s">
        <v>513</v>
      </c>
      <c r="K156" t="s">
        <v>19</v>
      </c>
      <c r="L156" t="s">
        <v>20</v>
      </c>
      <c r="M156">
        <v>95</v>
      </c>
      <c r="N156" t="s">
        <v>21</v>
      </c>
      <c r="O156" t="s">
        <v>22</v>
      </c>
      <c r="P156" t="s">
        <v>23</v>
      </c>
    </row>
    <row r="157" spans="1:16" x14ac:dyDescent="0.3">
      <c r="A157" t="s">
        <v>514</v>
      </c>
      <c r="B157" t="s">
        <v>515</v>
      </c>
      <c r="C157" s="1">
        <v>45205</v>
      </c>
      <c r="D157" s="1">
        <v>45205</v>
      </c>
      <c r="E157">
        <v>320</v>
      </c>
      <c r="F157">
        <v>320</v>
      </c>
      <c r="G157">
        <v>0</v>
      </c>
      <c r="H157">
        <v>0</v>
      </c>
      <c r="I157" t="s">
        <v>81</v>
      </c>
      <c r="J157" t="s">
        <v>82</v>
      </c>
      <c r="K157" t="s">
        <v>19</v>
      </c>
      <c r="L157" t="s">
        <v>20</v>
      </c>
      <c r="M157">
        <v>95</v>
      </c>
      <c r="N157" t="s">
        <v>21</v>
      </c>
      <c r="O157" t="s">
        <v>22</v>
      </c>
      <c r="P157" t="s">
        <v>23</v>
      </c>
    </row>
    <row r="158" spans="1:16" x14ac:dyDescent="0.3">
      <c r="A158" t="s">
        <v>516</v>
      </c>
      <c r="B158" t="s">
        <v>517</v>
      </c>
      <c r="C158" s="1">
        <v>45205</v>
      </c>
      <c r="D158" s="1">
        <v>45205</v>
      </c>
      <c r="E158">
        <v>10</v>
      </c>
      <c r="F158">
        <v>10</v>
      </c>
      <c r="G158">
        <v>0</v>
      </c>
      <c r="H158">
        <v>0</v>
      </c>
      <c r="I158" t="s">
        <v>518</v>
      </c>
      <c r="J158" t="s">
        <v>519</v>
      </c>
      <c r="K158" t="s">
        <v>19</v>
      </c>
      <c r="L158" t="s">
        <v>20</v>
      </c>
      <c r="M158">
        <v>95</v>
      </c>
      <c r="N158" t="s">
        <v>21</v>
      </c>
      <c r="O158" t="s">
        <v>22</v>
      </c>
      <c r="P158" t="s">
        <v>23</v>
      </c>
    </row>
    <row r="159" spans="1:16" x14ac:dyDescent="0.3">
      <c r="A159" t="s">
        <v>520</v>
      </c>
      <c r="B159" t="s">
        <v>161</v>
      </c>
      <c r="C159" s="1">
        <v>45205</v>
      </c>
      <c r="D159" s="1"/>
      <c r="E159">
        <v>700</v>
      </c>
      <c r="I159" t="s">
        <v>521</v>
      </c>
      <c r="J159" t="s">
        <v>161</v>
      </c>
      <c r="K159" t="s">
        <v>162</v>
      </c>
      <c r="L159" t="s">
        <v>163</v>
      </c>
      <c r="M159">
        <v>0</v>
      </c>
      <c r="N159" t="s">
        <v>164</v>
      </c>
      <c r="O159" t="s">
        <v>22</v>
      </c>
      <c r="P159" t="s">
        <v>23</v>
      </c>
    </row>
    <row r="160" spans="1:16" x14ac:dyDescent="0.3">
      <c r="A160" t="s">
        <v>522</v>
      </c>
      <c r="B160" t="s">
        <v>523</v>
      </c>
      <c r="C160" s="1">
        <v>45205</v>
      </c>
      <c r="D160" s="1">
        <v>45205</v>
      </c>
      <c r="E160">
        <v>220</v>
      </c>
      <c r="F160">
        <v>220</v>
      </c>
      <c r="G160">
        <v>0</v>
      </c>
      <c r="H160">
        <v>0</v>
      </c>
      <c r="I160" t="s">
        <v>81</v>
      </c>
      <c r="J160" t="s">
        <v>82</v>
      </c>
      <c r="K160" t="s">
        <v>19</v>
      </c>
      <c r="L160" t="s">
        <v>20</v>
      </c>
      <c r="M160">
        <v>95</v>
      </c>
      <c r="N160" t="s">
        <v>21</v>
      </c>
      <c r="O160" t="s">
        <v>22</v>
      </c>
      <c r="P160" t="s">
        <v>23</v>
      </c>
    </row>
    <row r="161" spans="1:16" x14ac:dyDescent="0.3">
      <c r="A161" t="s">
        <v>524</v>
      </c>
      <c r="B161" t="s">
        <v>525</v>
      </c>
      <c r="C161" s="1">
        <v>45205</v>
      </c>
      <c r="D161" s="1">
        <v>45205</v>
      </c>
      <c r="E161">
        <v>220</v>
      </c>
      <c r="F161">
        <v>220</v>
      </c>
      <c r="G161">
        <v>0</v>
      </c>
      <c r="H161">
        <v>0</v>
      </c>
      <c r="I161" t="s">
        <v>526</v>
      </c>
      <c r="J161" t="s">
        <v>527</v>
      </c>
      <c r="K161" t="s">
        <v>19</v>
      </c>
      <c r="L161" t="s">
        <v>20</v>
      </c>
      <c r="M161">
        <v>95</v>
      </c>
      <c r="N161" t="s">
        <v>21</v>
      </c>
      <c r="O161" t="s">
        <v>22</v>
      </c>
      <c r="P161" t="s">
        <v>23</v>
      </c>
    </row>
    <row r="162" spans="1:16" x14ac:dyDescent="0.3">
      <c r="A162" t="s">
        <v>528</v>
      </c>
      <c r="B162" t="s">
        <v>529</v>
      </c>
      <c r="C162" s="1">
        <v>45205</v>
      </c>
      <c r="D162" s="1">
        <v>45205</v>
      </c>
      <c r="E162">
        <v>30</v>
      </c>
      <c r="F162">
        <v>30</v>
      </c>
      <c r="G162">
        <v>0</v>
      </c>
      <c r="H162">
        <v>0</v>
      </c>
      <c r="I162" t="s">
        <v>530</v>
      </c>
      <c r="J162" t="s">
        <v>531</v>
      </c>
      <c r="K162" t="s">
        <v>19</v>
      </c>
      <c r="L162" t="s">
        <v>20</v>
      </c>
      <c r="M162">
        <v>95</v>
      </c>
      <c r="N162" t="s">
        <v>21</v>
      </c>
      <c r="O162" t="s">
        <v>22</v>
      </c>
      <c r="P162" t="s">
        <v>23</v>
      </c>
    </row>
    <row r="163" spans="1:16" x14ac:dyDescent="0.3">
      <c r="A163" t="s">
        <v>532</v>
      </c>
      <c r="B163" t="s">
        <v>533</v>
      </c>
      <c r="C163" s="1">
        <v>45206</v>
      </c>
      <c r="D163" s="1">
        <v>45206</v>
      </c>
      <c r="E163">
        <v>2330</v>
      </c>
      <c r="F163">
        <v>2330</v>
      </c>
      <c r="G163">
        <v>0</v>
      </c>
      <c r="H163">
        <v>0</v>
      </c>
      <c r="I163" t="s">
        <v>108</v>
      </c>
      <c r="J163" t="s">
        <v>109</v>
      </c>
      <c r="K163" t="s">
        <v>19</v>
      </c>
      <c r="L163" t="s">
        <v>110</v>
      </c>
      <c r="M163">
        <v>100</v>
      </c>
      <c r="N163" t="s">
        <v>21</v>
      </c>
      <c r="O163" t="s">
        <v>22</v>
      </c>
      <c r="P163" t="s">
        <v>23</v>
      </c>
    </row>
    <row r="164" spans="1:16" x14ac:dyDescent="0.3">
      <c r="A164" t="s">
        <v>534</v>
      </c>
      <c r="B164" t="s">
        <v>535</v>
      </c>
      <c r="C164" s="1">
        <v>45206</v>
      </c>
      <c r="D164" s="1">
        <v>45206</v>
      </c>
      <c r="E164">
        <v>19</v>
      </c>
      <c r="F164">
        <v>19</v>
      </c>
      <c r="G164">
        <v>0</v>
      </c>
      <c r="H164">
        <v>0</v>
      </c>
      <c r="I164" t="s">
        <v>536</v>
      </c>
      <c r="J164" t="s">
        <v>537</v>
      </c>
      <c r="K164" t="s">
        <v>19</v>
      </c>
      <c r="L164" t="s">
        <v>20</v>
      </c>
      <c r="M164">
        <v>95</v>
      </c>
      <c r="N164" t="s">
        <v>21</v>
      </c>
      <c r="O164" t="s">
        <v>22</v>
      </c>
      <c r="P164" t="s">
        <v>23</v>
      </c>
    </row>
    <row r="165" spans="1:16" x14ac:dyDescent="0.3">
      <c r="A165" t="s">
        <v>538</v>
      </c>
      <c r="B165" t="s">
        <v>539</v>
      </c>
      <c r="C165" s="1">
        <v>45206</v>
      </c>
      <c r="D165" s="1">
        <v>45206</v>
      </c>
      <c r="E165">
        <v>2000</v>
      </c>
      <c r="F165">
        <v>2000</v>
      </c>
      <c r="G165">
        <v>0</v>
      </c>
      <c r="H165">
        <v>0</v>
      </c>
      <c r="I165" t="s">
        <v>81</v>
      </c>
      <c r="J165" t="s">
        <v>82</v>
      </c>
      <c r="K165" t="s">
        <v>19</v>
      </c>
      <c r="L165" t="s">
        <v>20</v>
      </c>
      <c r="M165">
        <v>95</v>
      </c>
      <c r="N165" t="s">
        <v>21</v>
      </c>
      <c r="O165" t="s">
        <v>22</v>
      </c>
      <c r="P165" t="s">
        <v>23</v>
      </c>
    </row>
    <row r="166" spans="1:16" x14ac:dyDescent="0.3">
      <c r="A166" t="s">
        <v>540</v>
      </c>
      <c r="B166" t="s">
        <v>541</v>
      </c>
      <c r="C166" s="1">
        <v>45206</v>
      </c>
      <c r="D166" s="1">
        <v>45206</v>
      </c>
      <c r="E166">
        <v>20</v>
      </c>
      <c r="F166">
        <v>20</v>
      </c>
      <c r="G166">
        <v>0</v>
      </c>
      <c r="H166">
        <v>0</v>
      </c>
      <c r="I166" t="s">
        <v>542</v>
      </c>
      <c r="J166" t="s">
        <v>543</v>
      </c>
      <c r="K166" t="s">
        <v>19</v>
      </c>
      <c r="L166" t="s">
        <v>20</v>
      </c>
      <c r="M166">
        <v>95</v>
      </c>
      <c r="N166" t="s">
        <v>21</v>
      </c>
      <c r="O166" t="s">
        <v>22</v>
      </c>
      <c r="P166" t="s">
        <v>23</v>
      </c>
    </row>
    <row r="167" spans="1:16" x14ac:dyDescent="0.3">
      <c r="A167" t="s">
        <v>544</v>
      </c>
      <c r="B167" t="s">
        <v>545</v>
      </c>
      <c r="C167" s="1">
        <v>45206</v>
      </c>
      <c r="D167" s="1">
        <v>45206</v>
      </c>
      <c r="E167">
        <v>330</v>
      </c>
      <c r="F167">
        <v>330</v>
      </c>
      <c r="G167">
        <v>0</v>
      </c>
      <c r="H167">
        <v>0</v>
      </c>
      <c r="I167" t="s">
        <v>546</v>
      </c>
      <c r="J167" t="s">
        <v>547</v>
      </c>
      <c r="K167" t="s">
        <v>19</v>
      </c>
      <c r="L167" t="s">
        <v>20</v>
      </c>
      <c r="M167">
        <v>95</v>
      </c>
      <c r="N167" t="s">
        <v>21</v>
      </c>
      <c r="O167" t="s">
        <v>22</v>
      </c>
      <c r="P167" t="s">
        <v>23</v>
      </c>
    </row>
    <row r="168" spans="1:16" x14ac:dyDescent="0.3">
      <c r="A168" t="s">
        <v>548</v>
      </c>
      <c r="B168" t="s">
        <v>549</v>
      </c>
      <c r="C168" s="1">
        <v>45207</v>
      </c>
      <c r="D168" s="1">
        <v>45207</v>
      </c>
      <c r="E168">
        <v>1900</v>
      </c>
      <c r="F168">
        <v>1900</v>
      </c>
      <c r="G168">
        <v>0</v>
      </c>
      <c r="H168">
        <v>0</v>
      </c>
      <c r="I168" t="s">
        <v>550</v>
      </c>
      <c r="J168" t="s">
        <v>551</v>
      </c>
      <c r="K168" t="s">
        <v>19</v>
      </c>
      <c r="L168" t="s">
        <v>20</v>
      </c>
      <c r="M168">
        <v>95</v>
      </c>
      <c r="N168" t="s">
        <v>21</v>
      </c>
      <c r="O168" t="s">
        <v>22</v>
      </c>
      <c r="P168" t="s">
        <v>23</v>
      </c>
    </row>
    <row r="169" spans="1:16" x14ac:dyDescent="0.3">
      <c r="A169" t="s">
        <v>552</v>
      </c>
      <c r="B169" t="s">
        <v>553</v>
      </c>
      <c r="C169" s="1">
        <v>45207</v>
      </c>
      <c r="D169" s="1">
        <v>45207</v>
      </c>
      <c r="E169">
        <v>100</v>
      </c>
      <c r="F169">
        <v>100</v>
      </c>
      <c r="G169">
        <v>0</v>
      </c>
      <c r="H169">
        <v>0</v>
      </c>
      <c r="I169" t="s">
        <v>81</v>
      </c>
      <c r="J169" t="s">
        <v>82</v>
      </c>
      <c r="K169" t="s">
        <v>19</v>
      </c>
      <c r="L169" t="s">
        <v>20</v>
      </c>
      <c r="M169">
        <v>95</v>
      </c>
      <c r="N169" t="s">
        <v>21</v>
      </c>
      <c r="O169" t="s">
        <v>22</v>
      </c>
      <c r="P169" t="s">
        <v>23</v>
      </c>
    </row>
    <row r="170" spans="1:16" x14ac:dyDescent="0.3">
      <c r="A170" t="s">
        <v>554</v>
      </c>
      <c r="B170" t="s">
        <v>555</v>
      </c>
      <c r="C170" s="1">
        <v>45208</v>
      </c>
      <c r="D170" s="1">
        <v>45208</v>
      </c>
      <c r="E170">
        <v>100</v>
      </c>
      <c r="F170">
        <v>100</v>
      </c>
      <c r="G170">
        <v>0</v>
      </c>
      <c r="H170">
        <v>0</v>
      </c>
      <c r="I170" t="s">
        <v>108</v>
      </c>
      <c r="J170" t="s">
        <v>109</v>
      </c>
      <c r="K170" t="s">
        <v>19</v>
      </c>
      <c r="L170" t="s">
        <v>110</v>
      </c>
      <c r="M170">
        <v>100</v>
      </c>
      <c r="N170" t="s">
        <v>21</v>
      </c>
      <c r="O170" t="s">
        <v>22</v>
      </c>
      <c r="P170" t="s">
        <v>23</v>
      </c>
    </row>
    <row r="171" spans="1:16" x14ac:dyDescent="0.3">
      <c r="A171" t="s">
        <v>556</v>
      </c>
      <c r="B171" t="s">
        <v>557</v>
      </c>
      <c r="C171" s="1">
        <v>45208</v>
      </c>
      <c r="D171" s="1">
        <v>45208</v>
      </c>
      <c r="E171">
        <v>2000</v>
      </c>
      <c r="F171">
        <v>2000</v>
      </c>
      <c r="G171">
        <v>0</v>
      </c>
      <c r="H171">
        <v>0</v>
      </c>
      <c r="I171" t="s">
        <v>558</v>
      </c>
      <c r="J171" t="s">
        <v>559</v>
      </c>
      <c r="K171" t="s">
        <v>19</v>
      </c>
      <c r="L171" t="s">
        <v>20</v>
      </c>
      <c r="M171">
        <v>95</v>
      </c>
      <c r="N171" t="s">
        <v>21</v>
      </c>
      <c r="O171" t="s">
        <v>22</v>
      </c>
      <c r="P171" t="s">
        <v>23</v>
      </c>
    </row>
    <row r="172" spans="1:16" x14ac:dyDescent="0.3">
      <c r="A172" t="s">
        <v>560</v>
      </c>
      <c r="B172" t="s">
        <v>561</v>
      </c>
      <c r="C172" s="1">
        <v>45208</v>
      </c>
      <c r="D172" s="1">
        <v>45208</v>
      </c>
      <c r="E172">
        <v>50</v>
      </c>
      <c r="F172">
        <v>50</v>
      </c>
      <c r="G172">
        <v>0</v>
      </c>
      <c r="H172">
        <v>0</v>
      </c>
      <c r="I172" t="s">
        <v>562</v>
      </c>
      <c r="J172" t="s">
        <v>563</v>
      </c>
      <c r="K172" t="s">
        <v>19</v>
      </c>
      <c r="L172" t="s">
        <v>20</v>
      </c>
      <c r="M172">
        <v>95</v>
      </c>
      <c r="N172" t="s">
        <v>21</v>
      </c>
      <c r="O172" t="s">
        <v>22</v>
      </c>
      <c r="P172" t="s">
        <v>23</v>
      </c>
    </row>
    <row r="173" spans="1:16" x14ac:dyDescent="0.3">
      <c r="A173" t="s">
        <v>564</v>
      </c>
      <c r="B173" t="s">
        <v>565</v>
      </c>
      <c r="C173" s="1">
        <v>45208</v>
      </c>
      <c r="D173" s="1">
        <v>45207</v>
      </c>
      <c r="E173">
        <v>100</v>
      </c>
      <c r="F173">
        <v>100</v>
      </c>
      <c r="G173">
        <v>0</v>
      </c>
      <c r="H173">
        <v>-1</v>
      </c>
      <c r="I173" t="s">
        <v>566</v>
      </c>
      <c r="J173" t="s">
        <v>567</v>
      </c>
      <c r="K173" t="s">
        <v>235</v>
      </c>
      <c r="L173" t="s">
        <v>265</v>
      </c>
      <c r="M173">
        <v>80</v>
      </c>
      <c r="N173" t="s">
        <v>93</v>
      </c>
      <c r="O173" t="s">
        <v>22</v>
      </c>
      <c r="P173" t="s">
        <v>23</v>
      </c>
    </row>
    <row r="174" spans="1:16" x14ac:dyDescent="0.3">
      <c r="A174" t="s">
        <v>568</v>
      </c>
      <c r="B174" t="s">
        <v>569</v>
      </c>
      <c r="C174" s="1">
        <v>45208</v>
      </c>
      <c r="D174" s="1">
        <v>45208</v>
      </c>
      <c r="E174">
        <v>110</v>
      </c>
      <c r="F174">
        <v>110</v>
      </c>
      <c r="G174">
        <v>0</v>
      </c>
      <c r="H174">
        <v>0</v>
      </c>
      <c r="I174" t="s">
        <v>81</v>
      </c>
      <c r="J174" t="s">
        <v>82</v>
      </c>
      <c r="K174" t="s">
        <v>19</v>
      </c>
      <c r="L174" t="s">
        <v>20</v>
      </c>
      <c r="M174">
        <v>95</v>
      </c>
      <c r="N174" t="s">
        <v>21</v>
      </c>
      <c r="O174" t="s">
        <v>22</v>
      </c>
      <c r="P174" t="s">
        <v>23</v>
      </c>
    </row>
    <row r="175" spans="1:16" x14ac:dyDescent="0.3">
      <c r="A175" t="s">
        <v>570</v>
      </c>
      <c r="B175" t="s">
        <v>571</v>
      </c>
      <c r="C175" s="1">
        <v>45209</v>
      </c>
      <c r="D175" s="1">
        <v>45209</v>
      </c>
      <c r="E175">
        <v>100</v>
      </c>
      <c r="F175">
        <v>100</v>
      </c>
      <c r="G175">
        <v>0</v>
      </c>
      <c r="H175">
        <v>0</v>
      </c>
      <c r="I175" t="s">
        <v>108</v>
      </c>
      <c r="J175" t="s">
        <v>109</v>
      </c>
      <c r="K175" t="s">
        <v>19</v>
      </c>
      <c r="L175" t="s">
        <v>110</v>
      </c>
      <c r="M175">
        <v>100</v>
      </c>
      <c r="N175" t="s">
        <v>21</v>
      </c>
      <c r="O175" t="s">
        <v>22</v>
      </c>
      <c r="P175" t="s">
        <v>23</v>
      </c>
    </row>
    <row r="176" spans="1:16" x14ac:dyDescent="0.3">
      <c r="A176" t="s">
        <v>572</v>
      </c>
      <c r="B176" t="s">
        <v>573</v>
      </c>
      <c r="C176" s="1">
        <v>45209</v>
      </c>
      <c r="D176" s="1">
        <v>45209</v>
      </c>
      <c r="E176">
        <v>20</v>
      </c>
      <c r="F176">
        <v>20</v>
      </c>
      <c r="G176">
        <v>0</v>
      </c>
      <c r="H176">
        <v>0</v>
      </c>
      <c r="I176" t="s">
        <v>81</v>
      </c>
      <c r="J176" t="s">
        <v>82</v>
      </c>
      <c r="K176" t="s">
        <v>19</v>
      </c>
      <c r="L176" t="s">
        <v>20</v>
      </c>
      <c r="M176">
        <v>95</v>
      </c>
      <c r="N176" t="s">
        <v>21</v>
      </c>
      <c r="O176" t="s">
        <v>22</v>
      </c>
      <c r="P176" t="s">
        <v>23</v>
      </c>
    </row>
    <row r="177" spans="1:16" x14ac:dyDescent="0.3">
      <c r="A177" t="s">
        <v>574</v>
      </c>
      <c r="B177" t="s">
        <v>575</v>
      </c>
      <c r="C177" s="1">
        <v>45209</v>
      </c>
      <c r="D177" s="1">
        <v>45209</v>
      </c>
      <c r="E177">
        <v>5</v>
      </c>
      <c r="F177">
        <v>5</v>
      </c>
      <c r="G177">
        <v>0</v>
      </c>
      <c r="H177">
        <v>0</v>
      </c>
      <c r="I177" t="s">
        <v>576</v>
      </c>
      <c r="J177" t="s">
        <v>577</v>
      </c>
      <c r="K177" t="s">
        <v>19</v>
      </c>
      <c r="L177" t="s">
        <v>20</v>
      </c>
      <c r="M177">
        <v>95</v>
      </c>
      <c r="N177" t="s">
        <v>21</v>
      </c>
      <c r="O177" t="s">
        <v>22</v>
      </c>
      <c r="P177" t="s">
        <v>23</v>
      </c>
    </row>
    <row r="178" spans="1:16" x14ac:dyDescent="0.3">
      <c r="A178" t="s">
        <v>578</v>
      </c>
      <c r="B178" t="s">
        <v>579</v>
      </c>
      <c r="C178" s="1">
        <v>45209</v>
      </c>
      <c r="D178" s="1">
        <v>45209</v>
      </c>
      <c r="E178">
        <v>310</v>
      </c>
      <c r="F178">
        <v>310</v>
      </c>
      <c r="G178">
        <v>0</v>
      </c>
      <c r="H178">
        <v>0</v>
      </c>
      <c r="I178" t="s">
        <v>96</v>
      </c>
      <c r="J178" t="s">
        <v>97</v>
      </c>
      <c r="K178" t="s">
        <v>19</v>
      </c>
      <c r="L178" t="s">
        <v>20</v>
      </c>
      <c r="M178">
        <v>95</v>
      </c>
      <c r="N178" t="s">
        <v>21</v>
      </c>
      <c r="O178" t="s">
        <v>22</v>
      </c>
      <c r="P178" t="s">
        <v>23</v>
      </c>
    </row>
    <row r="179" spans="1:16" x14ac:dyDescent="0.3">
      <c r="A179" t="s">
        <v>580</v>
      </c>
      <c r="B179" t="s">
        <v>581</v>
      </c>
      <c r="C179" s="1">
        <v>45210</v>
      </c>
      <c r="D179" s="1">
        <v>45210</v>
      </c>
      <c r="E179">
        <v>500</v>
      </c>
      <c r="F179">
        <v>500</v>
      </c>
      <c r="G179">
        <v>0</v>
      </c>
      <c r="H179">
        <v>0</v>
      </c>
      <c r="I179" t="s">
        <v>582</v>
      </c>
      <c r="J179" t="s">
        <v>583</v>
      </c>
      <c r="K179" t="s">
        <v>19</v>
      </c>
      <c r="L179" t="s">
        <v>20</v>
      </c>
      <c r="M179">
        <v>95</v>
      </c>
      <c r="N179" t="s">
        <v>21</v>
      </c>
      <c r="O179" t="s">
        <v>22</v>
      </c>
      <c r="P179" t="s">
        <v>23</v>
      </c>
    </row>
    <row r="180" spans="1:16" x14ac:dyDescent="0.3">
      <c r="A180" t="s">
        <v>584</v>
      </c>
      <c r="B180" t="s">
        <v>585</v>
      </c>
      <c r="C180" s="1">
        <v>45210</v>
      </c>
      <c r="D180" s="1">
        <v>45210</v>
      </c>
      <c r="E180">
        <v>250</v>
      </c>
      <c r="F180">
        <v>250</v>
      </c>
      <c r="G180">
        <v>0</v>
      </c>
      <c r="H180">
        <v>0</v>
      </c>
      <c r="I180" t="s">
        <v>108</v>
      </c>
      <c r="J180" t="s">
        <v>109</v>
      </c>
      <c r="K180" t="s">
        <v>19</v>
      </c>
      <c r="L180" t="s">
        <v>110</v>
      </c>
      <c r="M180">
        <v>100</v>
      </c>
      <c r="N180" t="s">
        <v>21</v>
      </c>
      <c r="O180" t="s">
        <v>22</v>
      </c>
      <c r="P180" t="s">
        <v>23</v>
      </c>
    </row>
    <row r="181" spans="1:16" x14ac:dyDescent="0.3">
      <c r="A181" t="s">
        <v>586</v>
      </c>
      <c r="B181" t="s">
        <v>587</v>
      </c>
      <c r="C181" s="1">
        <v>45210</v>
      </c>
      <c r="D181" s="1">
        <v>45210</v>
      </c>
      <c r="E181">
        <v>100</v>
      </c>
      <c r="F181">
        <v>100</v>
      </c>
      <c r="G181">
        <v>0</v>
      </c>
      <c r="H181">
        <v>0</v>
      </c>
      <c r="I181" t="s">
        <v>588</v>
      </c>
      <c r="J181" t="s">
        <v>589</v>
      </c>
      <c r="K181" t="s">
        <v>91</v>
      </c>
      <c r="L181" t="s">
        <v>92</v>
      </c>
      <c r="M181">
        <v>85</v>
      </c>
      <c r="N181" t="s">
        <v>93</v>
      </c>
      <c r="O181" t="s">
        <v>22</v>
      </c>
      <c r="P181" t="s">
        <v>23</v>
      </c>
    </row>
    <row r="182" spans="1:16" x14ac:dyDescent="0.3">
      <c r="A182" t="s">
        <v>590</v>
      </c>
      <c r="B182" t="s">
        <v>591</v>
      </c>
      <c r="C182" s="1">
        <v>45210</v>
      </c>
      <c r="D182" s="1">
        <v>45210</v>
      </c>
      <c r="E182">
        <v>120</v>
      </c>
      <c r="F182">
        <v>120</v>
      </c>
      <c r="G182">
        <v>0</v>
      </c>
      <c r="H182">
        <v>0</v>
      </c>
      <c r="I182" t="s">
        <v>96</v>
      </c>
      <c r="J182" t="s">
        <v>97</v>
      </c>
      <c r="K182" t="s">
        <v>19</v>
      </c>
      <c r="L182" t="s">
        <v>20</v>
      </c>
      <c r="M182">
        <v>95</v>
      </c>
      <c r="N182" t="s">
        <v>21</v>
      </c>
      <c r="O182" t="s">
        <v>22</v>
      </c>
      <c r="P182" t="s">
        <v>23</v>
      </c>
    </row>
    <row r="183" spans="1:16" x14ac:dyDescent="0.3">
      <c r="A183" t="s">
        <v>592</v>
      </c>
      <c r="B183" t="s">
        <v>593</v>
      </c>
      <c r="C183" s="1">
        <v>45210</v>
      </c>
      <c r="D183" s="1">
        <v>45210</v>
      </c>
      <c r="E183">
        <v>100</v>
      </c>
      <c r="F183">
        <v>100</v>
      </c>
      <c r="G183">
        <v>0</v>
      </c>
      <c r="H183">
        <v>0</v>
      </c>
      <c r="I183" t="s">
        <v>594</v>
      </c>
      <c r="J183" t="s">
        <v>595</v>
      </c>
      <c r="K183" t="s">
        <v>19</v>
      </c>
      <c r="L183" t="s">
        <v>20</v>
      </c>
      <c r="M183">
        <v>95</v>
      </c>
      <c r="N183" t="s">
        <v>21</v>
      </c>
      <c r="O183" t="s">
        <v>22</v>
      </c>
      <c r="P183" t="s">
        <v>23</v>
      </c>
    </row>
    <row r="184" spans="1:16" x14ac:dyDescent="0.3">
      <c r="A184" t="s">
        <v>596</v>
      </c>
      <c r="B184" t="s">
        <v>597</v>
      </c>
      <c r="C184" s="1">
        <v>45211</v>
      </c>
      <c r="D184" s="1">
        <v>45211</v>
      </c>
      <c r="E184">
        <v>1000</v>
      </c>
      <c r="F184">
        <v>1000</v>
      </c>
      <c r="G184">
        <v>0</v>
      </c>
      <c r="H184">
        <v>0</v>
      </c>
      <c r="I184" t="s">
        <v>108</v>
      </c>
      <c r="J184" t="s">
        <v>109</v>
      </c>
      <c r="K184" t="s">
        <v>19</v>
      </c>
      <c r="L184" t="s">
        <v>110</v>
      </c>
      <c r="M184">
        <v>100</v>
      </c>
      <c r="N184" t="s">
        <v>21</v>
      </c>
      <c r="O184" t="s">
        <v>22</v>
      </c>
      <c r="P184" t="s">
        <v>23</v>
      </c>
    </row>
    <row r="185" spans="1:16" x14ac:dyDescent="0.3">
      <c r="A185" t="s">
        <v>598</v>
      </c>
      <c r="B185" t="s">
        <v>599</v>
      </c>
      <c r="C185" s="1">
        <v>45211</v>
      </c>
      <c r="D185" s="1">
        <v>45211</v>
      </c>
      <c r="E185">
        <v>200</v>
      </c>
      <c r="F185">
        <v>200</v>
      </c>
      <c r="G185">
        <v>0</v>
      </c>
      <c r="H185">
        <v>0</v>
      </c>
      <c r="I185" t="s">
        <v>600</v>
      </c>
      <c r="J185" t="s">
        <v>601</v>
      </c>
      <c r="K185" t="s">
        <v>19</v>
      </c>
      <c r="L185" t="s">
        <v>20</v>
      </c>
      <c r="M185">
        <v>95</v>
      </c>
      <c r="N185" t="s">
        <v>21</v>
      </c>
      <c r="O185" t="s">
        <v>22</v>
      </c>
      <c r="P185" t="s">
        <v>23</v>
      </c>
    </row>
    <row r="186" spans="1:16" x14ac:dyDescent="0.3">
      <c r="A186" t="s">
        <v>602</v>
      </c>
      <c r="B186" t="s">
        <v>603</v>
      </c>
      <c r="C186" s="1">
        <v>45212</v>
      </c>
      <c r="D186" s="1">
        <v>45212</v>
      </c>
      <c r="E186">
        <v>600</v>
      </c>
      <c r="F186">
        <v>600</v>
      </c>
      <c r="G186">
        <v>0</v>
      </c>
      <c r="H186">
        <v>0</v>
      </c>
      <c r="I186" t="s">
        <v>108</v>
      </c>
      <c r="J186" t="s">
        <v>109</v>
      </c>
      <c r="K186" t="s">
        <v>19</v>
      </c>
      <c r="L186" t="s">
        <v>110</v>
      </c>
      <c r="M186">
        <v>100</v>
      </c>
      <c r="N186" t="s">
        <v>21</v>
      </c>
      <c r="O186" t="s">
        <v>22</v>
      </c>
      <c r="P186" t="s">
        <v>23</v>
      </c>
    </row>
    <row r="187" spans="1:16" x14ac:dyDescent="0.3">
      <c r="A187" t="s">
        <v>604</v>
      </c>
      <c r="B187" t="s">
        <v>605</v>
      </c>
      <c r="C187" s="1">
        <v>45213</v>
      </c>
      <c r="D187" s="1">
        <v>45213</v>
      </c>
      <c r="E187">
        <v>10</v>
      </c>
      <c r="F187">
        <v>10</v>
      </c>
      <c r="G187">
        <v>0</v>
      </c>
      <c r="H187">
        <v>0</v>
      </c>
      <c r="I187" t="s">
        <v>606</v>
      </c>
      <c r="J187" t="s">
        <v>607</v>
      </c>
      <c r="K187" t="s">
        <v>91</v>
      </c>
      <c r="L187" t="s">
        <v>92</v>
      </c>
      <c r="M187">
        <v>85</v>
      </c>
      <c r="N187" t="s">
        <v>93</v>
      </c>
      <c r="O187" t="s">
        <v>22</v>
      </c>
      <c r="P187" t="s">
        <v>23</v>
      </c>
    </row>
    <row r="188" spans="1:16" x14ac:dyDescent="0.3">
      <c r="A188" t="s">
        <v>608</v>
      </c>
      <c r="B188" t="s">
        <v>609</v>
      </c>
      <c r="C188" s="1">
        <v>45213</v>
      </c>
      <c r="D188" s="1">
        <v>45214</v>
      </c>
      <c r="E188">
        <v>1000</v>
      </c>
      <c r="F188">
        <v>510</v>
      </c>
      <c r="G188">
        <v>-490</v>
      </c>
      <c r="H188">
        <v>1</v>
      </c>
      <c r="I188" t="s">
        <v>81</v>
      </c>
      <c r="J188" t="s">
        <v>82</v>
      </c>
      <c r="K188" t="s">
        <v>278</v>
      </c>
      <c r="L188" t="s">
        <v>610</v>
      </c>
      <c r="M188">
        <v>80</v>
      </c>
      <c r="N188" t="s">
        <v>93</v>
      </c>
      <c r="O188" t="s">
        <v>22</v>
      </c>
      <c r="P188" t="s">
        <v>23</v>
      </c>
    </row>
    <row r="189" spans="1:16" x14ac:dyDescent="0.3">
      <c r="A189" t="s">
        <v>611</v>
      </c>
      <c r="B189" t="s">
        <v>612</v>
      </c>
      <c r="C189" s="1">
        <v>45213</v>
      </c>
      <c r="D189" s="1">
        <v>45213</v>
      </c>
      <c r="E189">
        <v>10</v>
      </c>
      <c r="F189">
        <v>10</v>
      </c>
      <c r="G189">
        <v>0</v>
      </c>
      <c r="H189">
        <v>0</v>
      </c>
      <c r="I189" t="s">
        <v>304</v>
      </c>
      <c r="J189" t="s">
        <v>305</v>
      </c>
      <c r="K189" t="s">
        <v>19</v>
      </c>
      <c r="L189" t="s">
        <v>20</v>
      </c>
      <c r="M189">
        <v>95</v>
      </c>
      <c r="N189" t="s">
        <v>21</v>
      </c>
      <c r="O189" t="s">
        <v>22</v>
      </c>
      <c r="P189" t="s">
        <v>23</v>
      </c>
    </row>
    <row r="190" spans="1:16" x14ac:dyDescent="0.3">
      <c r="A190" t="s">
        <v>613</v>
      </c>
      <c r="B190" t="s">
        <v>614</v>
      </c>
      <c r="C190" s="1">
        <v>45214</v>
      </c>
      <c r="D190" s="1">
        <v>45214</v>
      </c>
      <c r="E190">
        <v>55</v>
      </c>
      <c r="F190">
        <v>55</v>
      </c>
      <c r="G190">
        <v>0</v>
      </c>
      <c r="H190">
        <v>0</v>
      </c>
      <c r="I190" t="s">
        <v>615</v>
      </c>
      <c r="J190" t="s">
        <v>616</v>
      </c>
      <c r="K190" t="s">
        <v>19</v>
      </c>
      <c r="L190" t="s">
        <v>20</v>
      </c>
      <c r="M190">
        <v>95</v>
      </c>
      <c r="N190" t="s">
        <v>21</v>
      </c>
      <c r="O190" t="s">
        <v>22</v>
      </c>
      <c r="P190" t="s">
        <v>23</v>
      </c>
    </row>
    <row r="191" spans="1:16" x14ac:dyDescent="0.3">
      <c r="A191" t="s">
        <v>617</v>
      </c>
      <c r="B191" t="s">
        <v>618</v>
      </c>
      <c r="C191" s="1">
        <v>45214</v>
      </c>
      <c r="D191" s="1">
        <v>45214</v>
      </c>
      <c r="E191">
        <v>300</v>
      </c>
      <c r="F191">
        <v>300</v>
      </c>
      <c r="G191">
        <v>0</v>
      </c>
      <c r="H191">
        <v>0</v>
      </c>
      <c r="I191" t="s">
        <v>619</v>
      </c>
      <c r="J191" t="s">
        <v>620</v>
      </c>
      <c r="K191" t="s">
        <v>19</v>
      </c>
      <c r="L191" t="s">
        <v>20</v>
      </c>
      <c r="M191">
        <v>95</v>
      </c>
      <c r="N191" t="s">
        <v>21</v>
      </c>
      <c r="O191" t="s">
        <v>22</v>
      </c>
      <c r="P191" t="s">
        <v>23</v>
      </c>
    </row>
    <row r="192" spans="1:16" x14ac:dyDescent="0.3">
      <c r="A192" t="s">
        <v>621</v>
      </c>
      <c r="B192" t="s">
        <v>622</v>
      </c>
      <c r="C192" s="1">
        <v>45214</v>
      </c>
      <c r="D192" s="1">
        <v>45426</v>
      </c>
      <c r="E192">
        <v>510</v>
      </c>
      <c r="F192">
        <v>500</v>
      </c>
      <c r="G192">
        <v>-10</v>
      </c>
      <c r="H192">
        <v>212</v>
      </c>
      <c r="I192" t="s">
        <v>81</v>
      </c>
      <c r="J192" t="s">
        <v>82</v>
      </c>
      <c r="K192" t="s">
        <v>278</v>
      </c>
      <c r="L192" t="s">
        <v>623</v>
      </c>
      <c r="M192">
        <v>80</v>
      </c>
      <c r="N192" t="s">
        <v>93</v>
      </c>
      <c r="O192" t="s">
        <v>22</v>
      </c>
      <c r="P192" t="s">
        <v>23</v>
      </c>
    </row>
    <row r="193" spans="1:16" x14ac:dyDescent="0.3">
      <c r="A193" t="s">
        <v>624</v>
      </c>
      <c r="B193" t="s">
        <v>625</v>
      </c>
      <c r="C193" s="1">
        <v>45214</v>
      </c>
      <c r="D193" s="1">
        <v>45214</v>
      </c>
      <c r="E193">
        <v>50</v>
      </c>
      <c r="F193">
        <v>50</v>
      </c>
      <c r="G193">
        <v>0</v>
      </c>
      <c r="H193">
        <v>0</v>
      </c>
      <c r="I193" t="s">
        <v>626</v>
      </c>
      <c r="J193" t="s">
        <v>627</v>
      </c>
      <c r="K193" t="s">
        <v>19</v>
      </c>
      <c r="L193" t="s">
        <v>20</v>
      </c>
      <c r="M193">
        <v>95</v>
      </c>
      <c r="N193" t="s">
        <v>21</v>
      </c>
      <c r="O193" t="s">
        <v>22</v>
      </c>
      <c r="P193" t="s">
        <v>23</v>
      </c>
    </row>
    <row r="194" spans="1:16" x14ac:dyDescent="0.3">
      <c r="A194" t="s">
        <v>628</v>
      </c>
      <c r="B194" t="s">
        <v>629</v>
      </c>
      <c r="C194" s="1">
        <v>45215</v>
      </c>
      <c r="D194" s="1">
        <v>45215</v>
      </c>
      <c r="E194">
        <v>1300</v>
      </c>
      <c r="F194">
        <v>1300</v>
      </c>
      <c r="G194">
        <v>0</v>
      </c>
      <c r="H194">
        <v>0</v>
      </c>
      <c r="I194" t="s">
        <v>108</v>
      </c>
      <c r="J194" t="s">
        <v>109</v>
      </c>
      <c r="K194" t="s">
        <v>19</v>
      </c>
      <c r="L194" t="s">
        <v>110</v>
      </c>
      <c r="M194">
        <v>100</v>
      </c>
      <c r="N194" t="s">
        <v>21</v>
      </c>
      <c r="O194" t="s">
        <v>22</v>
      </c>
      <c r="P194" t="s">
        <v>23</v>
      </c>
    </row>
    <row r="195" spans="1:16" x14ac:dyDescent="0.3">
      <c r="A195" t="s">
        <v>630</v>
      </c>
      <c r="B195" t="s">
        <v>631</v>
      </c>
      <c r="C195" s="1">
        <v>45215</v>
      </c>
      <c r="D195" s="1">
        <v>45215</v>
      </c>
      <c r="E195">
        <v>1000</v>
      </c>
      <c r="F195">
        <v>1000</v>
      </c>
      <c r="G195">
        <v>0</v>
      </c>
      <c r="H195">
        <v>0</v>
      </c>
      <c r="I195" t="s">
        <v>632</v>
      </c>
      <c r="J195" t="s">
        <v>633</v>
      </c>
      <c r="K195" t="s">
        <v>19</v>
      </c>
      <c r="L195" t="s">
        <v>20</v>
      </c>
      <c r="M195">
        <v>95</v>
      </c>
      <c r="N195" t="s">
        <v>21</v>
      </c>
      <c r="O195" t="s">
        <v>22</v>
      </c>
      <c r="P195" t="s">
        <v>23</v>
      </c>
    </row>
    <row r="196" spans="1:16" x14ac:dyDescent="0.3">
      <c r="A196" t="s">
        <v>634</v>
      </c>
      <c r="B196" t="s">
        <v>635</v>
      </c>
      <c r="C196" s="1">
        <v>45216</v>
      </c>
      <c r="D196" s="1">
        <v>45216</v>
      </c>
      <c r="E196">
        <v>241</v>
      </c>
      <c r="F196">
        <v>241</v>
      </c>
      <c r="G196">
        <v>0</v>
      </c>
      <c r="H196">
        <v>0</v>
      </c>
      <c r="I196" t="s">
        <v>167</v>
      </c>
      <c r="J196" t="s">
        <v>168</v>
      </c>
      <c r="K196" t="s">
        <v>19</v>
      </c>
      <c r="L196" t="s">
        <v>20</v>
      </c>
      <c r="M196">
        <v>95</v>
      </c>
      <c r="N196" t="s">
        <v>21</v>
      </c>
      <c r="O196" t="s">
        <v>22</v>
      </c>
      <c r="P196" t="s">
        <v>23</v>
      </c>
    </row>
    <row r="197" spans="1:16" x14ac:dyDescent="0.3">
      <c r="A197" t="s">
        <v>636</v>
      </c>
      <c r="B197" t="s">
        <v>637</v>
      </c>
      <c r="C197" s="1">
        <v>45216</v>
      </c>
      <c r="D197" s="1">
        <v>45216</v>
      </c>
      <c r="E197">
        <v>950</v>
      </c>
      <c r="F197">
        <v>950</v>
      </c>
      <c r="G197">
        <v>0</v>
      </c>
      <c r="H197">
        <v>0</v>
      </c>
      <c r="I197" t="s">
        <v>108</v>
      </c>
      <c r="J197" t="s">
        <v>109</v>
      </c>
      <c r="K197" t="s">
        <v>19</v>
      </c>
      <c r="L197" t="s">
        <v>110</v>
      </c>
      <c r="M197">
        <v>100</v>
      </c>
      <c r="N197" t="s">
        <v>21</v>
      </c>
      <c r="O197" t="s">
        <v>22</v>
      </c>
      <c r="P197" t="s">
        <v>23</v>
      </c>
    </row>
    <row r="198" spans="1:16" x14ac:dyDescent="0.3">
      <c r="A198" t="s">
        <v>638</v>
      </c>
      <c r="B198" t="s">
        <v>639</v>
      </c>
      <c r="C198" s="1">
        <v>45217</v>
      </c>
      <c r="D198" s="1">
        <v>45217</v>
      </c>
      <c r="E198">
        <v>930</v>
      </c>
      <c r="F198">
        <v>930</v>
      </c>
      <c r="G198">
        <v>0</v>
      </c>
      <c r="H198">
        <v>0</v>
      </c>
      <c r="I198" t="s">
        <v>108</v>
      </c>
      <c r="J198" t="s">
        <v>109</v>
      </c>
      <c r="K198" t="s">
        <v>19</v>
      </c>
      <c r="L198" t="s">
        <v>110</v>
      </c>
      <c r="M198">
        <v>100</v>
      </c>
      <c r="N198" t="s">
        <v>21</v>
      </c>
      <c r="O198" t="s">
        <v>22</v>
      </c>
      <c r="P198" t="s">
        <v>23</v>
      </c>
    </row>
    <row r="199" spans="1:16" x14ac:dyDescent="0.3">
      <c r="A199" t="s">
        <v>640</v>
      </c>
      <c r="B199" t="s">
        <v>641</v>
      </c>
      <c r="C199" s="1">
        <v>45218</v>
      </c>
      <c r="D199" s="1">
        <v>45218</v>
      </c>
      <c r="E199">
        <v>25</v>
      </c>
      <c r="F199">
        <v>25</v>
      </c>
      <c r="G199">
        <v>0</v>
      </c>
      <c r="H199">
        <v>0</v>
      </c>
      <c r="I199" t="s">
        <v>642</v>
      </c>
      <c r="J199" t="s">
        <v>643</v>
      </c>
      <c r="K199" t="s">
        <v>19</v>
      </c>
      <c r="L199" t="s">
        <v>20</v>
      </c>
      <c r="M199">
        <v>95</v>
      </c>
      <c r="N199" t="s">
        <v>21</v>
      </c>
      <c r="O199" t="s">
        <v>22</v>
      </c>
      <c r="P199" t="s">
        <v>23</v>
      </c>
    </row>
    <row r="200" spans="1:16" x14ac:dyDescent="0.3">
      <c r="A200" t="s">
        <v>644</v>
      </c>
      <c r="B200" t="s">
        <v>645</v>
      </c>
      <c r="C200" s="1">
        <v>45218</v>
      </c>
      <c r="D200" s="1">
        <v>45218</v>
      </c>
      <c r="E200">
        <v>10</v>
      </c>
      <c r="F200">
        <v>10</v>
      </c>
      <c r="G200">
        <v>0</v>
      </c>
      <c r="H200">
        <v>0</v>
      </c>
      <c r="I200" t="s">
        <v>646</v>
      </c>
      <c r="J200" t="s">
        <v>647</v>
      </c>
      <c r="K200" t="s">
        <v>19</v>
      </c>
      <c r="L200" t="s">
        <v>20</v>
      </c>
      <c r="M200">
        <v>95</v>
      </c>
      <c r="N200" t="s">
        <v>21</v>
      </c>
      <c r="O200" t="s">
        <v>22</v>
      </c>
      <c r="P200" t="s">
        <v>23</v>
      </c>
    </row>
    <row r="201" spans="1:16" x14ac:dyDescent="0.3">
      <c r="A201" t="s">
        <v>648</v>
      </c>
      <c r="B201" t="s">
        <v>649</v>
      </c>
      <c r="C201" s="1">
        <v>45219</v>
      </c>
      <c r="D201" s="1">
        <v>45219</v>
      </c>
      <c r="E201">
        <v>500</v>
      </c>
      <c r="F201">
        <v>500</v>
      </c>
      <c r="G201">
        <v>0</v>
      </c>
      <c r="H201">
        <v>0</v>
      </c>
      <c r="I201" t="s">
        <v>650</v>
      </c>
      <c r="J201" t="s">
        <v>651</v>
      </c>
      <c r="K201" t="s">
        <v>19</v>
      </c>
      <c r="L201" t="s">
        <v>20</v>
      </c>
      <c r="M201">
        <v>95</v>
      </c>
      <c r="N201" t="s">
        <v>21</v>
      </c>
      <c r="O201" t="s">
        <v>22</v>
      </c>
      <c r="P201" t="s">
        <v>23</v>
      </c>
    </row>
    <row r="202" spans="1:16" x14ac:dyDescent="0.3">
      <c r="A202" t="s">
        <v>652</v>
      </c>
      <c r="B202" t="s">
        <v>653</v>
      </c>
      <c r="C202" s="1">
        <v>45219</v>
      </c>
      <c r="D202" s="1">
        <v>45219</v>
      </c>
      <c r="E202">
        <v>40</v>
      </c>
      <c r="F202">
        <v>40</v>
      </c>
      <c r="G202">
        <v>0</v>
      </c>
      <c r="H202">
        <v>0</v>
      </c>
      <c r="I202" t="s">
        <v>654</v>
      </c>
      <c r="J202" t="s">
        <v>655</v>
      </c>
      <c r="K202" t="s">
        <v>19</v>
      </c>
      <c r="L202" t="s">
        <v>20</v>
      </c>
      <c r="M202">
        <v>95</v>
      </c>
      <c r="N202" t="s">
        <v>21</v>
      </c>
      <c r="O202" t="s">
        <v>22</v>
      </c>
      <c r="P202" t="s">
        <v>23</v>
      </c>
    </row>
    <row r="203" spans="1:16" x14ac:dyDescent="0.3">
      <c r="A203" t="s">
        <v>656</v>
      </c>
      <c r="B203" t="s">
        <v>657</v>
      </c>
      <c r="C203" s="1">
        <v>45220</v>
      </c>
      <c r="D203" s="1">
        <v>45220</v>
      </c>
      <c r="E203">
        <v>830</v>
      </c>
      <c r="F203">
        <v>830</v>
      </c>
      <c r="G203">
        <v>0</v>
      </c>
      <c r="H203">
        <v>0</v>
      </c>
      <c r="I203" t="s">
        <v>108</v>
      </c>
      <c r="J203" t="s">
        <v>109</v>
      </c>
      <c r="K203" t="s">
        <v>19</v>
      </c>
      <c r="L203" t="s">
        <v>110</v>
      </c>
      <c r="M203">
        <v>100</v>
      </c>
      <c r="N203" t="s">
        <v>21</v>
      </c>
      <c r="O203" t="s">
        <v>22</v>
      </c>
      <c r="P203" t="s">
        <v>23</v>
      </c>
    </row>
    <row r="204" spans="1:16" x14ac:dyDescent="0.3">
      <c r="A204" t="s">
        <v>658</v>
      </c>
      <c r="B204" t="s">
        <v>659</v>
      </c>
      <c r="C204" s="1">
        <v>45220</v>
      </c>
      <c r="D204" s="1">
        <v>45220</v>
      </c>
      <c r="E204">
        <v>3300</v>
      </c>
      <c r="F204">
        <v>3300</v>
      </c>
      <c r="G204">
        <v>0</v>
      </c>
      <c r="H204">
        <v>0</v>
      </c>
      <c r="I204" t="s">
        <v>358</v>
      </c>
      <c r="J204" t="s">
        <v>359</v>
      </c>
      <c r="K204" t="s">
        <v>19</v>
      </c>
      <c r="L204" t="s">
        <v>20</v>
      </c>
      <c r="M204">
        <v>95</v>
      </c>
      <c r="N204" t="s">
        <v>21</v>
      </c>
      <c r="O204" t="s">
        <v>22</v>
      </c>
      <c r="P204" t="s">
        <v>23</v>
      </c>
    </row>
    <row r="205" spans="1:16" x14ac:dyDescent="0.3">
      <c r="A205" t="s">
        <v>660</v>
      </c>
      <c r="B205" t="s">
        <v>661</v>
      </c>
      <c r="C205" s="1">
        <v>45220</v>
      </c>
      <c r="D205" s="1">
        <v>45220</v>
      </c>
      <c r="E205">
        <v>136</v>
      </c>
      <c r="F205">
        <v>136</v>
      </c>
      <c r="G205">
        <v>0</v>
      </c>
      <c r="H205">
        <v>0</v>
      </c>
      <c r="I205" t="s">
        <v>662</v>
      </c>
      <c r="J205" t="s">
        <v>663</v>
      </c>
      <c r="K205" t="s">
        <v>19</v>
      </c>
      <c r="L205" t="s">
        <v>20</v>
      </c>
      <c r="M205">
        <v>95</v>
      </c>
      <c r="N205" t="s">
        <v>21</v>
      </c>
      <c r="O205" t="s">
        <v>22</v>
      </c>
      <c r="P205" t="s">
        <v>23</v>
      </c>
    </row>
    <row r="206" spans="1:16" x14ac:dyDescent="0.3">
      <c r="A206" t="s">
        <v>664</v>
      </c>
      <c r="B206" t="s">
        <v>665</v>
      </c>
      <c r="C206" s="1">
        <v>45221</v>
      </c>
      <c r="D206" s="1">
        <v>45221</v>
      </c>
      <c r="E206">
        <v>200</v>
      </c>
      <c r="F206">
        <v>200</v>
      </c>
      <c r="G206">
        <v>0</v>
      </c>
      <c r="H206">
        <v>0</v>
      </c>
      <c r="I206" t="s">
        <v>666</v>
      </c>
      <c r="J206" t="s">
        <v>667</v>
      </c>
      <c r="K206" t="s">
        <v>19</v>
      </c>
      <c r="L206" t="s">
        <v>20</v>
      </c>
      <c r="M206">
        <v>95</v>
      </c>
      <c r="N206" t="s">
        <v>21</v>
      </c>
      <c r="O206" t="s">
        <v>22</v>
      </c>
      <c r="P206" t="s">
        <v>23</v>
      </c>
    </row>
    <row r="207" spans="1:16" x14ac:dyDescent="0.3">
      <c r="A207" t="s">
        <v>668</v>
      </c>
      <c r="B207" t="s">
        <v>669</v>
      </c>
      <c r="C207" s="1">
        <v>45221</v>
      </c>
      <c r="D207" s="1">
        <v>45221</v>
      </c>
      <c r="E207">
        <v>10</v>
      </c>
      <c r="F207">
        <v>10</v>
      </c>
      <c r="G207">
        <v>0</v>
      </c>
      <c r="H207">
        <v>0</v>
      </c>
      <c r="I207" t="s">
        <v>670</v>
      </c>
      <c r="J207" t="s">
        <v>671</v>
      </c>
      <c r="K207" t="s">
        <v>19</v>
      </c>
      <c r="L207" t="s">
        <v>20</v>
      </c>
      <c r="M207">
        <v>95</v>
      </c>
      <c r="N207" t="s">
        <v>21</v>
      </c>
      <c r="O207" t="s">
        <v>22</v>
      </c>
      <c r="P207" t="s">
        <v>23</v>
      </c>
    </row>
    <row r="208" spans="1:16" x14ac:dyDescent="0.3">
      <c r="A208" t="s">
        <v>672</v>
      </c>
      <c r="B208" t="s">
        <v>673</v>
      </c>
      <c r="C208" s="1">
        <v>45222</v>
      </c>
      <c r="D208" s="1">
        <v>45222</v>
      </c>
      <c r="E208">
        <v>270</v>
      </c>
      <c r="F208">
        <v>270</v>
      </c>
      <c r="G208">
        <v>0</v>
      </c>
      <c r="H208">
        <v>0</v>
      </c>
      <c r="I208" t="s">
        <v>108</v>
      </c>
      <c r="J208" t="s">
        <v>109</v>
      </c>
      <c r="K208" t="s">
        <v>19</v>
      </c>
      <c r="L208" t="s">
        <v>110</v>
      </c>
      <c r="M208">
        <v>100</v>
      </c>
      <c r="N208" t="s">
        <v>21</v>
      </c>
      <c r="O208" t="s">
        <v>22</v>
      </c>
      <c r="P208" t="s">
        <v>23</v>
      </c>
    </row>
    <row r="209" spans="1:16" x14ac:dyDescent="0.3">
      <c r="A209" t="s">
        <v>674</v>
      </c>
      <c r="B209" t="s">
        <v>675</v>
      </c>
      <c r="C209" s="1">
        <v>45222</v>
      </c>
      <c r="D209" s="1">
        <v>45222</v>
      </c>
      <c r="E209">
        <v>20</v>
      </c>
      <c r="F209">
        <v>20</v>
      </c>
      <c r="G209">
        <v>0</v>
      </c>
      <c r="H209">
        <v>0</v>
      </c>
      <c r="I209" t="s">
        <v>81</v>
      </c>
      <c r="J209" t="s">
        <v>82</v>
      </c>
      <c r="K209" t="s">
        <v>19</v>
      </c>
      <c r="L209" t="s">
        <v>20</v>
      </c>
      <c r="M209">
        <v>95</v>
      </c>
      <c r="N209" t="s">
        <v>21</v>
      </c>
      <c r="O209" t="s">
        <v>22</v>
      </c>
      <c r="P209" t="s">
        <v>23</v>
      </c>
    </row>
    <row r="210" spans="1:16" x14ac:dyDescent="0.3">
      <c r="A210" t="s">
        <v>676</v>
      </c>
      <c r="B210" t="s">
        <v>677</v>
      </c>
      <c r="C210" s="1">
        <v>45222</v>
      </c>
      <c r="D210" s="1">
        <v>45222</v>
      </c>
      <c r="E210">
        <v>100</v>
      </c>
      <c r="F210">
        <v>100</v>
      </c>
      <c r="G210">
        <v>0</v>
      </c>
      <c r="H210">
        <v>0</v>
      </c>
      <c r="I210" t="s">
        <v>678</v>
      </c>
      <c r="J210" t="s">
        <v>679</v>
      </c>
      <c r="K210" t="s">
        <v>19</v>
      </c>
      <c r="L210" t="s">
        <v>20</v>
      </c>
      <c r="M210">
        <v>95</v>
      </c>
      <c r="N210" t="s">
        <v>21</v>
      </c>
      <c r="O210" t="s">
        <v>22</v>
      </c>
      <c r="P210" t="s">
        <v>23</v>
      </c>
    </row>
    <row r="211" spans="1:16" x14ac:dyDescent="0.3">
      <c r="A211" t="s">
        <v>680</v>
      </c>
      <c r="B211" t="s">
        <v>681</v>
      </c>
      <c r="C211" s="1">
        <v>45222</v>
      </c>
      <c r="D211" s="1">
        <v>45222</v>
      </c>
      <c r="E211">
        <v>150</v>
      </c>
      <c r="F211">
        <v>150</v>
      </c>
      <c r="G211">
        <v>0</v>
      </c>
      <c r="H211">
        <v>0</v>
      </c>
      <c r="I211" t="s">
        <v>81</v>
      </c>
      <c r="J211" t="s">
        <v>82</v>
      </c>
      <c r="K211" t="s">
        <v>19</v>
      </c>
      <c r="L211" t="s">
        <v>20</v>
      </c>
      <c r="M211">
        <v>95</v>
      </c>
      <c r="N211" t="s">
        <v>21</v>
      </c>
      <c r="O211" t="s">
        <v>22</v>
      </c>
      <c r="P211" t="s">
        <v>23</v>
      </c>
    </row>
    <row r="212" spans="1:16" x14ac:dyDescent="0.3">
      <c r="A212" t="s">
        <v>682</v>
      </c>
      <c r="B212" t="s">
        <v>683</v>
      </c>
      <c r="C212" s="1">
        <v>45223</v>
      </c>
      <c r="D212" s="1">
        <v>45223</v>
      </c>
      <c r="E212">
        <v>250</v>
      </c>
      <c r="F212">
        <v>250</v>
      </c>
      <c r="G212">
        <v>0</v>
      </c>
      <c r="H212">
        <v>0</v>
      </c>
      <c r="I212" t="s">
        <v>108</v>
      </c>
      <c r="J212" t="s">
        <v>109</v>
      </c>
      <c r="K212" t="s">
        <v>19</v>
      </c>
      <c r="L212" t="s">
        <v>110</v>
      </c>
      <c r="M212">
        <v>100</v>
      </c>
      <c r="N212" t="s">
        <v>21</v>
      </c>
      <c r="O212" t="s">
        <v>22</v>
      </c>
      <c r="P212" t="s">
        <v>23</v>
      </c>
    </row>
    <row r="213" spans="1:16" x14ac:dyDescent="0.3">
      <c r="A213" t="s">
        <v>684</v>
      </c>
      <c r="B213" t="s">
        <v>685</v>
      </c>
      <c r="C213" s="1">
        <v>45223</v>
      </c>
      <c r="D213" s="1">
        <v>45223</v>
      </c>
      <c r="E213">
        <v>43</v>
      </c>
      <c r="F213">
        <v>43</v>
      </c>
      <c r="G213">
        <v>0</v>
      </c>
      <c r="H213">
        <v>0</v>
      </c>
      <c r="I213" t="s">
        <v>686</v>
      </c>
      <c r="J213" t="s">
        <v>687</v>
      </c>
      <c r="K213" t="s">
        <v>19</v>
      </c>
      <c r="L213" t="s">
        <v>20</v>
      </c>
      <c r="M213">
        <v>95</v>
      </c>
      <c r="N213" t="s">
        <v>21</v>
      </c>
      <c r="O213" t="s">
        <v>22</v>
      </c>
      <c r="P213" t="s">
        <v>23</v>
      </c>
    </row>
    <row r="214" spans="1:16" x14ac:dyDescent="0.3">
      <c r="A214" t="s">
        <v>688</v>
      </c>
      <c r="B214" t="s">
        <v>689</v>
      </c>
      <c r="C214" s="1">
        <v>45223</v>
      </c>
      <c r="D214" s="1">
        <v>45223</v>
      </c>
      <c r="E214">
        <v>100</v>
      </c>
      <c r="F214">
        <v>100</v>
      </c>
      <c r="G214">
        <v>0</v>
      </c>
      <c r="H214">
        <v>0</v>
      </c>
      <c r="I214" t="s">
        <v>690</v>
      </c>
      <c r="J214" t="s">
        <v>691</v>
      </c>
      <c r="K214" t="s">
        <v>19</v>
      </c>
      <c r="L214" t="s">
        <v>20</v>
      </c>
      <c r="M214">
        <v>95</v>
      </c>
      <c r="N214" t="s">
        <v>21</v>
      </c>
      <c r="O214" t="s">
        <v>22</v>
      </c>
      <c r="P214" t="s">
        <v>23</v>
      </c>
    </row>
    <row r="215" spans="1:16" x14ac:dyDescent="0.3">
      <c r="A215" t="s">
        <v>692</v>
      </c>
      <c r="B215" t="s">
        <v>693</v>
      </c>
      <c r="C215" s="1">
        <v>45223</v>
      </c>
      <c r="D215" s="1">
        <v>45223</v>
      </c>
      <c r="E215">
        <v>150</v>
      </c>
      <c r="F215">
        <v>150</v>
      </c>
      <c r="G215">
        <v>0</v>
      </c>
      <c r="H215">
        <v>0</v>
      </c>
      <c r="I215" t="s">
        <v>96</v>
      </c>
      <c r="J215" t="s">
        <v>97</v>
      </c>
      <c r="K215" t="s">
        <v>19</v>
      </c>
      <c r="L215" t="s">
        <v>20</v>
      </c>
      <c r="M215">
        <v>95</v>
      </c>
      <c r="N215" t="s">
        <v>21</v>
      </c>
      <c r="O215" t="s">
        <v>22</v>
      </c>
      <c r="P215" t="s">
        <v>23</v>
      </c>
    </row>
    <row r="216" spans="1:16" x14ac:dyDescent="0.3">
      <c r="A216" t="s">
        <v>694</v>
      </c>
      <c r="B216" t="s">
        <v>695</v>
      </c>
      <c r="C216" s="1">
        <v>45223</v>
      </c>
      <c r="D216" s="1">
        <v>45223</v>
      </c>
      <c r="E216">
        <v>30</v>
      </c>
      <c r="F216">
        <v>30</v>
      </c>
      <c r="G216">
        <v>0</v>
      </c>
      <c r="H216">
        <v>0</v>
      </c>
      <c r="I216" t="s">
        <v>81</v>
      </c>
      <c r="J216" t="s">
        <v>82</v>
      </c>
      <c r="K216" t="s">
        <v>19</v>
      </c>
      <c r="L216" t="s">
        <v>20</v>
      </c>
      <c r="M216">
        <v>95</v>
      </c>
      <c r="N216" t="s">
        <v>21</v>
      </c>
      <c r="O216" t="s">
        <v>22</v>
      </c>
      <c r="P216" t="s">
        <v>23</v>
      </c>
    </row>
    <row r="217" spans="1:16" x14ac:dyDescent="0.3">
      <c r="A217" t="s">
        <v>696</v>
      </c>
      <c r="B217" t="s">
        <v>697</v>
      </c>
      <c r="C217" s="1">
        <v>45223</v>
      </c>
      <c r="D217" s="1">
        <v>45345</v>
      </c>
      <c r="E217">
        <v>20</v>
      </c>
      <c r="F217">
        <v>20</v>
      </c>
      <c r="G217">
        <v>0</v>
      </c>
      <c r="H217">
        <v>122</v>
      </c>
      <c r="I217" t="s">
        <v>81</v>
      </c>
      <c r="J217" t="s">
        <v>82</v>
      </c>
      <c r="K217" t="s">
        <v>91</v>
      </c>
      <c r="L217" t="s">
        <v>698</v>
      </c>
      <c r="M217">
        <v>60</v>
      </c>
      <c r="N217" t="s">
        <v>164</v>
      </c>
      <c r="O217" t="s">
        <v>22</v>
      </c>
      <c r="P217" t="s">
        <v>23</v>
      </c>
    </row>
    <row r="218" spans="1:16" x14ac:dyDescent="0.3">
      <c r="A218" t="s">
        <v>699</v>
      </c>
      <c r="B218" t="s">
        <v>700</v>
      </c>
      <c r="C218" s="1">
        <v>45223</v>
      </c>
      <c r="D218" s="1">
        <v>45223</v>
      </c>
      <c r="E218">
        <v>200</v>
      </c>
      <c r="F218">
        <v>200</v>
      </c>
      <c r="G218">
        <v>0</v>
      </c>
      <c r="H218">
        <v>0</v>
      </c>
      <c r="I218" t="s">
        <v>701</v>
      </c>
      <c r="J218" t="s">
        <v>702</v>
      </c>
      <c r="K218" t="s">
        <v>19</v>
      </c>
      <c r="L218" t="s">
        <v>20</v>
      </c>
      <c r="M218">
        <v>95</v>
      </c>
      <c r="N218" t="s">
        <v>21</v>
      </c>
      <c r="O218" t="s">
        <v>22</v>
      </c>
      <c r="P218" t="s">
        <v>23</v>
      </c>
    </row>
    <row r="219" spans="1:16" x14ac:dyDescent="0.3">
      <c r="A219" t="s">
        <v>703</v>
      </c>
      <c r="B219" t="s">
        <v>704</v>
      </c>
      <c r="C219" s="1">
        <v>45224</v>
      </c>
      <c r="D219" s="1">
        <v>45224</v>
      </c>
      <c r="E219">
        <v>1000</v>
      </c>
      <c r="F219">
        <v>1000</v>
      </c>
      <c r="G219">
        <v>0</v>
      </c>
      <c r="H219">
        <v>0</v>
      </c>
      <c r="I219" t="s">
        <v>108</v>
      </c>
      <c r="J219" t="s">
        <v>109</v>
      </c>
      <c r="K219" t="s">
        <v>19</v>
      </c>
      <c r="L219" t="s">
        <v>110</v>
      </c>
      <c r="M219">
        <v>100</v>
      </c>
      <c r="N219" t="s">
        <v>21</v>
      </c>
      <c r="O219" t="s">
        <v>22</v>
      </c>
      <c r="P219" t="s">
        <v>23</v>
      </c>
    </row>
    <row r="220" spans="1:16" x14ac:dyDescent="0.3">
      <c r="A220" t="s">
        <v>705</v>
      </c>
      <c r="B220" t="s">
        <v>706</v>
      </c>
      <c r="C220" s="1">
        <v>45224</v>
      </c>
      <c r="D220" s="1">
        <v>45224</v>
      </c>
      <c r="E220">
        <v>60</v>
      </c>
      <c r="F220">
        <v>60</v>
      </c>
      <c r="G220">
        <v>0</v>
      </c>
      <c r="H220">
        <v>0</v>
      </c>
      <c r="I220" t="s">
        <v>707</v>
      </c>
      <c r="J220" t="s">
        <v>708</v>
      </c>
      <c r="K220" t="s">
        <v>19</v>
      </c>
      <c r="L220" t="s">
        <v>20</v>
      </c>
      <c r="M220">
        <v>95</v>
      </c>
      <c r="N220" t="s">
        <v>21</v>
      </c>
      <c r="O220" t="s">
        <v>22</v>
      </c>
      <c r="P220" t="s">
        <v>23</v>
      </c>
    </row>
    <row r="221" spans="1:16" x14ac:dyDescent="0.3">
      <c r="A221" t="s">
        <v>709</v>
      </c>
      <c r="B221" t="s">
        <v>710</v>
      </c>
      <c r="C221" s="1">
        <v>45224</v>
      </c>
      <c r="D221" s="1">
        <v>45224</v>
      </c>
      <c r="E221">
        <v>19</v>
      </c>
      <c r="F221">
        <v>19</v>
      </c>
      <c r="G221">
        <v>0</v>
      </c>
      <c r="H221">
        <v>0</v>
      </c>
      <c r="I221" t="s">
        <v>167</v>
      </c>
      <c r="J221" t="s">
        <v>168</v>
      </c>
      <c r="K221" t="s">
        <v>19</v>
      </c>
      <c r="L221" t="s">
        <v>20</v>
      </c>
      <c r="M221">
        <v>95</v>
      </c>
      <c r="N221" t="s">
        <v>21</v>
      </c>
      <c r="O221" t="s">
        <v>22</v>
      </c>
      <c r="P221" t="s">
        <v>23</v>
      </c>
    </row>
    <row r="222" spans="1:16" x14ac:dyDescent="0.3">
      <c r="A222" t="s">
        <v>711</v>
      </c>
      <c r="B222" t="s">
        <v>712</v>
      </c>
      <c r="C222" s="1">
        <v>45225</v>
      </c>
      <c r="D222" s="1">
        <v>45225</v>
      </c>
      <c r="E222">
        <v>10</v>
      </c>
      <c r="F222">
        <v>10</v>
      </c>
      <c r="G222">
        <v>0</v>
      </c>
      <c r="H222">
        <v>0</v>
      </c>
      <c r="I222" t="s">
        <v>713</v>
      </c>
      <c r="J222" t="s">
        <v>714</v>
      </c>
      <c r="K222" t="s">
        <v>19</v>
      </c>
      <c r="L222" t="s">
        <v>20</v>
      </c>
      <c r="M222">
        <v>95</v>
      </c>
      <c r="N222" t="s">
        <v>21</v>
      </c>
      <c r="O222" t="s">
        <v>22</v>
      </c>
      <c r="P222" t="s">
        <v>23</v>
      </c>
    </row>
    <row r="223" spans="1:16" x14ac:dyDescent="0.3">
      <c r="A223" t="s">
        <v>715</v>
      </c>
      <c r="B223" t="s">
        <v>716</v>
      </c>
      <c r="C223" s="1">
        <v>45227</v>
      </c>
      <c r="D223" s="1">
        <v>45227</v>
      </c>
      <c r="E223">
        <v>400</v>
      </c>
      <c r="F223">
        <v>400</v>
      </c>
      <c r="G223">
        <v>0</v>
      </c>
      <c r="H223">
        <v>0</v>
      </c>
      <c r="I223" t="s">
        <v>108</v>
      </c>
      <c r="J223" t="s">
        <v>97</v>
      </c>
      <c r="K223" t="s">
        <v>19</v>
      </c>
      <c r="L223" t="s">
        <v>20</v>
      </c>
      <c r="M223">
        <v>95</v>
      </c>
      <c r="N223" t="s">
        <v>21</v>
      </c>
      <c r="O223" t="s">
        <v>22</v>
      </c>
      <c r="P223" t="s">
        <v>23</v>
      </c>
    </row>
    <row r="224" spans="1:16" x14ac:dyDescent="0.3">
      <c r="A224" t="s">
        <v>717</v>
      </c>
      <c r="B224" t="s">
        <v>718</v>
      </c>
      <c r="C224" s="1">
        <v>45227</v>
      </c>
      <c r="D224" s="1">
        <v>45227</v>
      </c>
      <c r="E224">
        <v>239</v>
      </c>
      <c r="F224">
        <v>239</v>
      </c>
      <c r="G224">
        <v>0</v>
      </c>
      <c r="H224">
        <v>0</v>
      </c>
      <c r="I224" t="s">
        <v>719</v>
      </c>
      <c r="J224" t="s">
        <v>720</v>
      </c>
      <c r="K224" t="s">
        <v>19</v>
      </c>
      <c r="L224" t="s">
        <v>20</v>
      </c>
      <c r="M224">
        <v>95</v>
      </c>
      <c r="N224" t="s">
        <v>21</v>
      </c>
      <c r="O224" t="s">
        <v>22</v>
      </c>
      <c r="P224" t="s">
        <v>23</v>
      </c>
    </row>
    <row r="225" spans="1:16" x14ac:dyDescent="0.3">
      <c r="A225" t="s">
        <v>721</v>
      </c>
      <c r="B225" t="s">
        <v>161</v>
      </c>
      <c r="C225" s="1">
        <v>45227</v>
      </c>
      <c r="D225" s="1"/>
      <c r="E225">
        <v>400</v>
      </c>
      <c r="I225" t="s">
        <v>96</v>
      </c>
      <c r="J225" t="s">
        <v>161</v>
      </c>
      <c r="K225" t="s">
        <v>162</v>
      </c>
      <c r="L225" t="s">
        <v>163</v>
      </c>
      <c r="M225">
        <v>0</v>
      </c>
      <c r="N225" t="s">
        <v>164</v>
      </c>
      <c r="O225" t="s">
        <v>22</v>
      </c>
      <c r="P225" t="s">
        <v>23</v>
      </c>
    </row>
    <row r="226" spans="1:16" x14ac:dyDescent="0.3">
      <c r="A226" t="s">
        <v>722</v>
      </c>
      <c r="B226" t="s">
        <v>723</v>
      </c>
      <c r="C226" s="1">
        <v>45227</v>
      </c>
      <c r="D226" s="1">
        <v>45227</v>
      </c>
      <c r="E226">
        <v>310</v>
      </c>
      <c r="F226">
        <v>310</v>
      </c>
      <c r="G226">
        <v>0</v>
      </c>
      <c r="H226">
        <v>0</v>
      </c>
      <c r="I226" t="s">
        <v>96</v>
      </c>
      <c r="J226" t="s">
        <v>97</v>
      </c>
      <c r="K226" t="s">
        <v>19</v>
      </c>
      <c r="L226" t="s">
        <v>20</v>
      </c>
      <c r="M226">
        <v>95</v>
      </c>
      <c r="N226" t="s">
        <v>21</v>
      </c>
      <c r="O226" t="s">
        <v>22</v>
      </c>
      <c r="P226" t="s">
        <v>23</v>
      </c>
    </row>
    <row r="227" spans="1:16" x14ac:dyDescent="0.3">
      <c r="A227" t="s">
        <v>724</v>
      </c>
      <c r="B227" t="s">
        <v>725</v>
      </c>
      <c r="C227" s="1">
        <v>45227</v>
      </c>
      <c r="D227" s="1">
        <v>45227</v>
      </c>
      <c r="E227">
        <v>215</v>
      </c>
      <c r="F227">
        <v>215</v>
      </c>
      <c r="G227">
        <v>0</v>
      </c>
      <c r="H227">
        <v>0</v>
      </c>
      <c r="I227" t="s">
        <v>726</v>
      </c>
      <c r="J227" t="s">
        <v>727</v>
      </c>
      <c r="K227" t="s">
        <v>19</v>
      </c>
      <c r="L227" t="s">
        <v>20</v>
      </c>
      <c r="M227">
        <v>95</v>
      </c>
      <c r="N227" t="s">
        <v>21</v>
      </c>
      <c r="O227" t="s">
        <v>22</v>
      </c>
      <c r="P227" t="s">
        <v>23</v>
      </c>
    </row>
    <row r="228" spans="1:16" x14ac:dyDescent="0.3">
      <c r="A228" t="s">
        <v>728</v>
      </c>
      <c r="B228" t="s">
        <v>729</v>
      </c>
      <c r="C228" s="1">
        <v>45229</v>
      </c>
      <c r="D228" s="1">
        <v>45229</v>
      </c>
      <c r="E228">
        <v>2</v>
      </c>
      <c r="F228">
        <v>2</v>
      </c>
      <c r="G228">
        <v>0</v>
      </c>
      <c r="H228">
        <v>0</v>
      </c>
      <c r="I228" t="s">
        <v>108</v>
      </c>
      <c r="J228" t="s">
        <v>109</v>
      </c>
      <c r="K228" t="s">
        <v>19</v>
      </c>
      <c r="L228" t="s">
        <v>110</v>
      </c>
      <c r="M228">
        <v>100</v>
      </c>
      <c r="N228" t="s">
        <v>21</v>
      </c>
      <c r="O228" t="s">
        <v>22</v>
      </c>
      <c r="P228" t="s">
        <v>23</v>
      </c>
    </row>
    <row r="229" spans="1:16" x14ac:dyDescent="0.3">
      <c r="A229" t="s">
        <v>730</v>
      </c>
      <c r="B229" t="s">
        <v>731</v>
      </c>
      <c r="C229" s="1">
        <v>45229</v>
      </c>
      <c r="D229" s="1">
        <v>45229</v>
      </c>
      <c r="E229">
        <v>22</v>
      </c>
      <c r="F229">
        <v>22</v>
      </c>
      <c r="G229">
        <v>0</v>
      </c>
      <c r="H229">
        <v>0</v>
      </c>
      <c r="I229" t="s">
        <v>732</v>
      </c>
      <c r="J229" t="s">
        <v>733</v>
      </c>
      <c r="K229" t="s">
        <v>19</v>
      </c>
      <c r="L229" t="s">
        <v>20</v>
      </c>
      <c r="M229">
        <v>95</v>
      </c>
      <c r="N229" t="s">
        <v>21</v>
      </c>
      <c r="O229" t="s">
        <v>22</v>
      </c>
      <c r="P229" t="s">
        <v>23</v>
      </c>
    </row>
    <row r="230" spans="1:16" x14ac:dyDescent="0.3">
      <c r="A230" t="s">
        <v>734</v>
      </c>
      <c r="B230" t="s">
        <v>735</v>
      </c>
      <c r="C230" s="1">
        <v>45229</v>
      </c>
      <c r="D230" s="1">
        <v>45229</v>
      </c>
      <c r="E230">
        <v>200</v>
      </c>
      <c r="F230">
        <v>200</v>
      </c>
      <c r="G230">
        <v>0</v>
      </c>
      <c r="H230">
        <v>0</v>
      </c>
      <c r="I230" t="s">
        <v>736</v>
      </c>
      <c r="J230" t="s">
        <v>737</v>
      </c>
      <c r="K230" t="s">
        <v>19</v>
      </c>
      <c r="L230" t="s">
        <v>20</v>
      </c>
      <c r="M230">
        <v>95</v>
      </c>
      <c r="N230" t="s">
        <v>21</v>
      </c>
      <c r="O230" t="s">
        <v>22</v>
      </c>
      <c r="P230" t="s">
        <v>23</v>
      </c>
    </row>
    <row r="231" spans="1:16" x14ac:dyDescent="0.3">
      <c r="A231" t="s">
        <v>738</v>
      </c>
      <c r="B231" t="s">
        <v>739</v>
      </c>
      <c r="C231" s="1">
        <v>45229</v>
      </c>
      <c r="D231" s="1">
        <v>45229</v>
      </c>
      <c r="E231">
        <v>200</v>
      </c>
      <c r="F231">
        <v>200</v>
      </c>
      <c r="G231">
        <v>0</v>
      </c>
      <c r="H231">
        <v>0</v>
      </c>
      <c r="I231" t="s">
        <v>81</v>
      </c>
      <c r="J231" t="s">
        <v>82</v>
      </c>
      <c r="K231" t="s">
        <v>19</v>
      </c>
      <c r="L231" t="s">
        <v>20</v>
      </c>
      <c r="M231">
        <v>95</v>
      </c>
      <c r="N231" t="s">
        <v>21</v>
      </c>
      <c r="O231" t="s">
        <v>22</v>
      </c>
      <c r="P231" t="s">
        <v>23</v>
      </c>
    </row>
    <row r="232" spans="1:16" x14ac:dyDescent="0.3">
      <c r="A232" t="s">
        <v>740</v>
      </c>
      <c r="B232" t="s">
        <v>741</v>
      </c>
      <c r="C232" s="1">
        <v>45230</v>
      </c>
      <c r="D232" s="1">
        <v>45230</v>
      </c>
      <c r="E232">
        <v>30</v>
      </c>
      <c r="F232">
        <v>30</v>
      </c>
      <c r="G232">
        <v>0</v>
      </c>
      <c r="H232">
        <v>0</v>
      </c>
      <c r="I232" t="s">
        <v>81</v>
      </c>
      <c r="J232" t="s">
        <v>82</v>
      </c>
      <c r="K232" t="s">
        <v>19</v>
      </c>
      <c r="L232" t="s">
        <v>20</v>
      </c>
      <c r="M232">
        <v>95</v>
      </c>
      <c r="N232" t="s">
        <v>21</v>
      </c>
      <c r="O232" t="s">
        <v>22</v>
      </c>
      <c r="P232" t="s">
        <v>23</v>
      </c>
    </row>
    <row r="233" spans="1:16" x14ac:dyDescent="0.3">
      <c r="A233" t="s">
        <v>742</v>
      </c>
      <c r="B233" t="s">
        <v>743</v>
      </c>
      <c r="C233" s="1">
        <v>45231</v>
      </c>
      <c r="D233" s="1">
        <v>45231</v>
      </c>
      <c r="E233">
        <v>145</v>
      </c>
      <c r="F233">
        <v>145</v>
      </c>
      <c r="G233">
        <v>0</v>
      </c>
      <c r="H233">
        <v>0</v>
      </c>
      <c r="I233" t="s">
        <v>744</v>
      </c>
      <c r="J233" t="s">
        <v>745</v>
      </c>
      <c r="K233" t="s">
        <v>19</v>
      </c>
      <c r="L233" t="s">
        <v>20</v>
      </c>
      <c r="M233">
        <v>95</v>
      </c>
      <c r="N233" t="s">
        <v>21</v>
      </c>
      <c r="O233" t="s">
        <v>22</v>
      </c>
      <c r="P233" t="s">
        <v>23</v>
      </c>
    </row>
    <row r="234" spans="1:16" x14ac:dyDescent="0.3">
      <c r="A234" t="s">
        <v>746</v>
      </c>
      <c r="B234" t="s">
        <v>747</v>
      </c>
      <c r="C234" s="1">
        <v>45232</v>
      </c>
      <c r="D234" s="1">
        <v>45232</v>
      </c>
      <c r="E234">
        <v>280</v>
      </c>
      <c r="F234">
        <v>280</v>
      </c>
      <c r="G234">
        <v>0</v>
      </c>
      <c r="H234">
        <v>0</v>
      </c>
      <c r="I234" t="s">
        <v>108</v>
      </c>
      <c r="J234" t="s">
        <v>109</v>
      </c>
      <c r="K234" t="s">
        <v>19</v>
      </c>
      <c r="L234" t="s">
        <v>110</v>
      </c>
      <c r="M234">
        <v>100</v>
      </c>
      <c r="N234" t="s">
        <v>21</v>
      </c>
      <c r="O234" t="s">
        <v>22</v>
      </c>
      <c r="P234" t="s">
        <v>23</v>
      </c>
    </row>
    <row r="235" spans="1:16" x14ac:dyDescent="0.3">
      <c r="A235" t="s">
        <v>748</v>
      </c>
      <c r="B235" t="s">
        <v>749</v>
      </c>
      <c r="C235" s="1">
        <v>45232</v>
      </c>
      <c r="D235" s="1">
        <v>45232</v>
      </c>
      <c r="E235">
        <v>500</v>
      </c>
      <c r="F235">
        <v>500</v>
      </c>
      <c r="G235">
        <v>0</v>
      </c>
      <c r="H235">
        <v>0</v>
      </c>
      <c r="I235" t="s">
        <v>750</v>
      </c>
      <c r="J235" t="s">
        <v>751</v>
      </c>
      <c r="K235" t="s">
        <v>19</v>
      </c>
      <c r="L235" t="s">
        <v>20</v>
      </c>
      <c r="M235">
        <v>95</v>
      </c>
      <c r="N235" t="s">
        <v>21</v>
      </c>
      <c r="O235" t="s">
        <v>22</v>
      </c>
      <c r="P235" t="s">
        <v>23</v>
      </c>
    </row>
    <row r="236" spans="1:16" x14ac:dyDescent="0.3">
      <c r="A236" t="s">
        <v>752</v>
      </c>
      <c r="B236" t="s">
        <v>753</v>
      </c>
      <c r="C236" s="1">
        <v>45232</v>
      </c>
      <c r="D236" s="1">
        <v>45232</v>
      </c>
      <c r="E236">
        <v>10</v>
      </c>
      <c r="F236">
        <v>10</v>
      </c>
      <c r="G236">
        <v>0</v>
      </c>
      <c r="H236">
        <v>0</v>
      </c>
      <c r="I236" t="s">
        <v>754</v>
      </c>
      <c r="J236" t="s">
        <v>755</v>
      </c>
      <c r="K236" t="s">
        <v>19</v>
      </c>
      <c r="L236" t="s">
        <v>20</v>
      </c>
      <c r="M236">
        <v>95</v>
      </c>
      <c r="N236" t="s">
        <v>21</v>
      </c>
      <c r="O236" t="s">
        <v>22</v>
      </c>
      <c r="P236" t="s">
        <v>23</v>
      </c>
    </row>
    <row r="237" spans="1:16" x14ac:dyDescent="0.3">
      <c r="A237" t="s">
        <v>756</v>
      </c>
      <c r="B237" t="s">
        <v>757</v>
      </c>
      <c r="C237" s="1">
        <v>45232</v>
      </c>
      <c r="D237" s="1">
        <v>45232</v>
      </c>
      <c r="E237">
        <v>150</v>
      </c>
      <c r="F237">
        <v>150</v>
      </c>
      <c r="G237">
        <v>0</v>
      </c>
      <c r="H237">
        <v>0</v>
      </c>
      <c r="I237" t="s">
        <v>758</v>
      </c>
      <c r="J237" t="s">
        <v>759</v>
      </c>
      <c r="K237" t="s">
        <v>19</v>
      </c>
      <c r="L237" t="s">
        <v>20</v>
      </c>
      <c r="M237">
        <v>95</v>
      </c>
      <c r="N237" t="s">
        <v>21</v>
      </c>
      <c r="O237" t="s">
        <v>22</v>
      </c>
      <c r="P237" t="s">
        <v>23</v>
      </c>
    </row>
    <row r="238" spans="1:16" x14ac:dyDescent="0.3">
      <c r="A238" t="s">
        <v>760</v>
      </c>
      <c r="B238" t="s">
        <v>761</v>
      </c>
      <c r="C238" s="1">
        <v>45233</v>
      </c>
      <c r="D238" s="1">
        <v>45233</v>
      </c>
      <c r="E238">
        <v>60</v>
      </c>
      <c r="F238">
        <v>60</v>
      </c>
      <c r="G238">
        <v>0</v>
      </c>
      <c r="H238">
        <v>0</v>
      </c>
      <c r="I238" t="s">
        <v>96</v>
      </c>
      <c r="J238" t="s">
        <v>97</v>
      </c>
      <c r="K238" t="s">
        <v>19</v>
      </c>
      <c r="L238" t="s">
        <v>20</v>
      </c>
      <c r="M238">
        <v>95</v>
      </c>
      <c r="N238" t="s">
        <v>21</v>
      </c>
      <c r="O238" t="s">
        <v>22</v>
      </c>
      <c r="P238" t="s">
        <v>23</v>
      </c>
    </row>
    <row r="239" spans="1:16" x14ac:dyDescent="0.3">
      <c r="A239" t="s">
        <v>762</v>
      </c>
      <c r="B239" t="s">
        <v>763</v>
      </c>
      <c r="C239" s="1">
        <v>45233</v>
      </c>
      <c r="D239" s="1">
        <v>45233</v>
      </c>
      <c r="E239">
        <v>180</v>
      </c>
      <c r="F239">
        <v>180</v>
      </c>
      <c r="G239">
        <v>0</v>
      </c>
      <c r="H239">
        <v>0</v>
      </c>
      <c r="I239" t="s">
        <v>764</v>
      </c>
      <c r="J239" t="s">
        <v>765</v>
      </c>
      <c r="K239" t="s">
        <v>19</v>
      </c>
      <c r="L239" t="s">
        <v>20</v>
      </c>
      <c r="M239">
        <v>95</v>
      </c>
      <c r="N239" t="s">
        <v>21</v>
      </c>
      <c r="O239" t="s">
        <v>22</v>
      </c>
      <c r="P239" t="s">
        <v>23</v>
      </c>
    </row>
    <row r="240" spans="1:16" x14ac:dyDescent="0.3">
      <c r="A240" t="s">
        <v>766</v>
      </c>
      <c r="B240" t="s">
        <v>767</v>
      </c>
      <c r="C240" s="1">
        <v>45234</v>
      </c>
      <c r="D240" s="1">
        <v>45234</v>
      </c>
      <c r="E240">
        <v>500</v>
      </c>
      <c r="F240">
        <v>500</v>
      </c>
      <c r="G240">
        <v>0</v>
      </c>
      <c r="H240">
        <v>0</v>
      </c>
      <c r="I240" t="s">
        <v>768</v>
      </c>
      <c r="J240" t="s">
        <v>769</v>
      </c>
      <c r="K240" t="s">
        <v>19</v>
      </c>
      <c r="L240" t="s">
        <v>20</v>
      </c>
      <c r="M240">
        <v>95</v>
      </c>
      <c r="N240" t="s">
        <v>21</v>
      </c>
      <c r="O240" t="s">
        <v>22</v>
      </c>
      <c r="P240" t="s">
        <v>23</v>
      </c>
    </row>
    <row r="241" spans="1:16" x14ac:dyDescent="0.3">
      <c r="A241" t="s">
        <v>770</v>
      </c>
      <c r="B241" t="s">
        <v>771</v>
      </c>
      <c r="C241" s="1">
        <v>45234</v>
      </c>
      <c r="D241" s="1">
        <v>45234</v>
      </c>
      <c r="E241">
        <v>19</v>
      </c>
      <c r="F241">
        <v>19</v>
      </c>
      <c r="G241">
        <v>0</v>
      </c>
      <c r="H241">
        <v>0</v>
      </c>
      <c r="I241" t="s">
        <v>772</v>
      </c>
      <c r="J241" t="s">
        <v>773</v>
      </c>
      <c r="K241" t="s">
        <v>19</v>
      </c>
      <c r="L241" t="s">
        <v>20</v>
      </c>
      <c r="M241">
        <v>95</v>
      </c>
      <c r="N241" t="s">
        <v>21</v>
      </c>
      <c r="O241" t="s">
        <v>22</v>
      </c>
      <c r="P241" t="s">
        <v>23</v>
      </c>
    </row>
    <row r="242" spans="1:16" x14ac:dyDescent="0.3">
      <c r="A242" t="s">
        <v>774</v>
      </c>
      <c r="B242" t="s">
        <v>775</v>
      </c>
      <c r="C242" s="1">
        <v>45235</v>
      </c>
      <c r="D242" s="1">
        <v>45235</v>
      </c>
      <c r="E242">
        <v>20</v>
      </c>
      <c r="F242">
        <v>20</v>
      </c>
      <c r="G242">
        <v>0</v>
      </c>
      <c r="H242">
        <v>0</v>
      </c>
      <c r="I242" t="s">
        <v>776</v>
      </c>
      <c r="J242" t="s">
        <v>777</v>
      </c>
      <c r="K242" t="s">
        <v>19</v>
      </c>
      <c r="L242" t="s">
        <v>20</v>
      </c>
      <c r="M242">
        <v>95</v>
      </c>
      <c r="N242" t="s">
        <v>21</v>
      </c>
      <c r="O242" t="s">
        <v>22</v>
      </c>
      <c r="P242" t="s">
        <v>23</v>
      </c>
    </row>
    <row r="243" spans="1:16" x14ac:dyDescent="0.3">
      <c r="A243" t="s">
        <v>778</v>
      </c>
      <c r="B243" t="s">
        <v>779</v>
      </c>
      <c r="C243" s="1">
        <v>45236</v>
      </c>
      <c r="D243" s="1">
        <v>45236</v>
      </c>
      <c r="E243">
        <v>200</v>
      </c>
      <c r="F243">
        <v>200</v>
      </c>
      <c r="G243">
        <v>0</v>
      </c>
      <c r="H243">
        <v>0</v>
      </c>
      <c r="I243" t="s">
        <v>780</v>
      </c>
      <c r="J243" t="s">
        <v>781</v>
      </c>
      <c r="K243" t="s">
        <v>19</v>
      </c>
      <c r="L243" t="s">
        <v>20</v>
      </c>
      <c r="M243">
        <v>95</v>
      </c>
      <c r="N243" t="s">
        <v>21</v>
      </c>
      <c r="O243" t="s">
        <v>22</v>
      </c>
      <c r="P243" t="s">
        <v>23</v>
      </c>
    </row>
    <row r="244" spans="1:16" x14ac:dyDescent="0.3">
      <c r="A244" t="s">
        <v>782</v>
      </c>
      <c r="B244" t="s">
        <v>783</v>
      </c>
      <c r="C244" s="1">
        <v>45236</v>
      </c>
      <c r="D244" s="1">
        <v>45236</v>
      </c>
      <c r="E244">
        <v>200</v>
      </c>
      <c r="F244">
        <v>200</v>
      </c>
      <c r="G244">
        <v>0</v>
      </c>
      <c r="H244">
        <v>0</v>
      </c>
      <c r="I244" t="s">
        <v>784</v>
      </c>
      <c r="J244" t="s">
        <v>785</v>
      </c>
      <c r="K244" t="s">
        <v>19</v>
      </c>
      <c r="L244" t="s">
        <v>20</v>
      </c>
      <c r="M244">
        <v>95</v>
      </c>
      <c r="N244" t="s">
        <v>21</v>
      </c>
      <c r="O244" t="s">
        <v>22</v>
      </c>
      <c r="P244" t="s">
        <v>23</v>
      </c>
    </row>
    <row r="245" spans="1:16" x14ac:dyDescent="0.3">
      <c r="A245" t="s">
        <v>786</v>
      </c>
      <c r="B245" t="s">
        <v>787</v>
      </c>
      <c r="C245" s="1">
        <v>45236</v>
      </c>
      <c r="D245" s="1">
        <v>45236</v>
      </c>
      <c r="E245">
        <v>105</v>
      </c>
      <c r="F245">
        <v>105</v>
      </c>
      <c r="G245">
        <v>0</v>
      </c>
      <c r="H245">
        <v>0</v>
      </c>
      <c r="I245" t="s">
        <v>788</v>
      </c>
      <c r="J245" t="s">
        <v>789</v>
      </c>
      <c r="K245" t="s">
        <v>19</v>
      </c>
      <c r="L245" t="s">
        <v>20</v>
      </c>
      <c r="M245">
        <v>95</v>
      </c>
      <c r="N245" t="s">
        <v>21</v>
      </c>
      <c r="O245" t="s">
        <v>22</v>
      </c>
      <c r="P245" t="s">
        <v>23</v>
      </c>
    </row>
    <row r="246" spans="1:16" x14ac:dyDescent="0.3">
      <c r="A246" t="s">
        <v>790</v>
      </c>
      <c r="B246" t="s">
        <v>791</v>
      </c>
      <c r="C246" s="1">
        <v>45237</v>
      </c>
      <c r="D246" s="1">
        <v>45237</v>
      </c>
      <c r="E246">
        <v>1150</v>
      </c>
      <c r="F246">
        <v>1150</v>
      </c>
      <c r="G246">
        <v>0</v>
      </c>
      <c r="H246">
        <v>0</v>
      </c>
      <c r="I246" t="s">
        <v>108</v>
      </c>
      <c r="J246" t="s">
        <v>109</v>
      </c>
      <c r="K246" t="s">
        <v>19</v>
      </c>
      <c r="L246" t="s">
        <v>110</v>
      </c>
      <c r="M246">
        <v>100</v>
      </c>
      <c r="N246" t="s">
        <v>21</v>
      </c>
      <c r="O246" t="s">
        <v>22</v>
      </c>
      <c r="P246" t="s">
        <v>23</v>
      </c>
    </row>
    <row r="247" spans="1:16" x14ac:dyDescent="0.3">
      <c r="A247" t="s">
        <v>792</v>
      </c>
      <c r="B247" t="s">
        <v>793</v>
      </c>
      <c r="C247" s="1">
        <v>45237</v>
      </c>
      <c r="D247" s="1">
        <v>45237</v>
      </c>
      <c r="E247">
        <v>51</v>
      </c>
      <c r="F247">
        <v>51</v>
      </c>
      <c r="G247">
        <v>0</v>
      </c>
      <c r="H247">
        <v>0</v>
      </c>
      <c r="I247" t="s">
        <v>794</v>
      </c>
      <c r="J247" t="s">
        <v>795</v>
      </c>
      <c r="K247" t="s">
        <v>19</v>
      </c>
      <c r="L247" t="s">
        <v>20</v>
      </c>
      <c r="M247">
        <v>95</v>
      </c>
      <c r="N247" t="s">
        <v>21</v>
      </c>
      <c r="O247" t="s">
        <v>22</v>
      </c>
      <c r="P247" t="s">
        <v>23</v>
      </c>
    </row>
    <row r="248" spans="1:16" x14ac:dyDescent="0.3">
      <c r="A248" t="s">
        <v>796</v>
      </c>
      <c r="B248" t="s">
        <v>797</v>
      </c>
      <c r="C248" s="1">
        <v>45237</v>
      </c>
      <c r="D248" s="1">
        <v>45237</v>
      </c>
      <c r="E248">
        <v>500</v>
      </c>
      <c r="F248">
        <v>500</v>
      </c>
      <c r="G248">
        <v>0</v>
      </c>
      <c r="H248">
        <v>0</v>
      </c>
      <c r="I248" t="s">
        <v>798</v>
      </c>
      <c r="J248" t="s">
        <v>799</v>
      </c>
      <c r="K248" t="s">
        <v>19</v>
      </c>
      <c r="L248" t="s">
        <v>20</v>
      </c>
      <c r="M248">
        <v>95</v>
      </c>
      <c r="N248" t="s">
        <v>21</v>
      </c>
      <c r="O248" t="s">
        <v>22</v>
      </c>
      <c r="P248" t="s">
        <v>23</v>
      </c>
    </row>
    <row r="249" spans="1:16" x14ac:dyDescent="0.3">
      <c r="A249" t="s">
        <v>800</v>
      </c>
      <c r="B249" t="s">
        <v>801</v>
      </c>
      <c r="C249" s="1">
        <v>45237</v>
      </c>
      <c r="D249" s="1">
        <v>45237</v>
      </c>
      <c r="E249">
        <v>10</v>
      </c>
      <c r="F249">
        <v>10</v>
      </c>
      <c r="G249">
        <v>0</v>
      </c>
      <c r="H249">
        <v>0</v>
      </c>
      <c r="I249" t="s">
        <v>802</v>
      </c>
      <c r="J249" t="s">
        <v>803</v>
      </c>
      <c r="K249" t="s">
        <v>19</v>
      </c>
      <c r="L249" t="s">
        <v>20</v>
      </c>
      <c r="M249">
        <v>95</v>
      </c>
      <c r="N249" t="s">
        <v>21</v>
      </c>
      <c r="O249" t="s">
        <v>22</v>
      </c>
      <c r="P249" t="s">
        <v>23</v>
      </c>
    </row>
    <row r="250" spans="1:16" x14ac:dyDescent="0.3">
      <c r="A250" t="s">
        <v>804</v>
      </c>
      <c r="B250" t="s">
        <v>805</v>
      </c>
      <c r="C250" s="1">
        <v>45237</v>
      </c>
      <c r="D250" s="1">
        <v>45237</v>
      </c>
      <c r="E250">
        <v>50</v>
      </c>
      <c r="F250">
        <v>50</v>
      </c>
      <c r="G250">
        <v>0</v>
      </c>
      <c r="H250">
        <v>0</v>
      </c>
      <c r="I250" t="s">
        <v>806</v>
      </c>
      <c r="J250" t="s">
        <v>807</v>
      </c>
      <c r="K250" t="s">
        <v>19</v>
      </c>
      <c r="L250" t="s">
        <v>20</v>
      </c>
      <c r="M250">
        <v>95</v>
      </c>
      <c r="N250" t="s">
        <v>21</v>
      </c>
      <c r="O250" t="s">
        <v>22</v>
      </c>
      <c r="P250" t="s">
        <v>23</v>
      </c>
    </row>
    <row r="251" spans="1:16" x14ac:dyDescent="0.3">
      <c r="A251" t="s">
        <v>808</v>
      </c>
      <c r="B251" t="s">
        <v>809</v>
      </c>
      <c r="C251" s="1">
        <v>45238</v>
      </c>
      <c r="D251" s="1">
        <v>45238</v>
      </c>
      <c r="E251">
        <v>250</v>
      </c>
      <c r="F251">
        <v>250</v>
      </c>
      <c r="G251">
        <v>0</v>
      </c>
      <c r="H251">
        <v>0</v>
      </c>
      <c r="I251" t="s">
        <v>108</v>
      </c>
      <c r="J251" t="s">
        <v>109</v>
      </c>
      <c r="K251" t="s">
        <v>19</v>
      </c>
      <c r="L251" t="s">
        <v>110</v>
      </c>
      <c r="M251">
        <v>100</v>
      </c>
      <c r="N251" t="s">
        <v>21</v>
      </c>
      <c r="O251" t="s">
        <v>22</v>
      </c>
      <c r="P251" t="s">
        <v>23</v>
      </c>
    </row>
    <row r="252" spans="1:16" x14ac:dyDescent="0.3">
      <c r="A252" t="s">
        <v>810</v>
      </c>
      <c r="B252" t="s">
        <v>811</v>
      </c>
      <c r="C252" s="1">
        <v>45238</v>
      </c>
      <c r="D252" s="1">
        <v>45238</v>
      </c>
      <c r="E252">
        <v>180</v>
      </c>
      <c r="F252">
        <v>180</v>
      </c>
      <c r="G252">
        <v>0</v>
      </c>
      <c r="H252">
        <v>0</v>
      </c>
      <c r="I252" t="s">
        <v>812</v>
      </c>
      <c r="J252" t="s">
        <v>813</v>
      </c>
      <c r="K252" t="s">
        <v>19</v>
      </c>
      <c r="L252" t="s">
        <v>20</v>
      </c>
      <c r="M252">
        <v>95</v>
      </c>
      <c r="N252" t="s">
        <v>21</v>
      </c>
      <c r="O252" t="s">
        <v>22</v>
      </c>
      <c r="P252" t="s">
        <v>23</v>
      </c>
    </row>
    <row r="253" spans="1:16" x14ac:dyDescent="0.3">
      <c r="A253" t="s">
        <v>814</v>
      </c>
      <c r="B253" t="s">
        <v>815</v>
      </c>
      <c r="C253" s="1">
        <v>45230</v>
      </c>
      <c r="D253" s="1">
        <v>45230</v>
      </c>
      <c r="E253">
        <v>15</v>
      </c>
      <c r="F253">
        <v>15</v>
      </c>
      <c r="G253">
        <v>0</v>
      </c>
      <c r="H253">
        <v>0</v>
      </c>
      <c r="I253" t="s">
        <v>816</v>
      </c>
      <c r="J253" t="s">
        <v>816</v>
      </c>
      <c r="K253" t="s">
        <v>19</v>
      </c>
      <c r="L253" t="s">
        <v>20</v>
      </c>
      <c r="M253">
        <v>95</v>
      </c>
      <c r="N253" t="s">
        <v>21</v>
      </c>
      <c r="O253" t="s">
        <v>22</v>
      </c>
      <c r="P253" t="s">
        <v>23</v>
      </c>
    </row>
    <row r="254" spans="1:16" x14ac:dyDescent="0.3">
      <c r="A254" t="s">
        <v>817</v>
      </c>
      <c r="B254" t="s">
        <v>818</v>
      </c>
      <c r="C254" s="1">
        <v>45238</v>
      </c>
      <c r="D254" s="1">
        <v>45238</v>
      </c>
      <c r="E254">
        <v>50</v>
      </c>
      <c r="F254">
        <v>50</v>
      </c>
      <c r="G254">
        <v>0</v>
      </c>
      <c r="H254">
        <v>0</v>
      </c>
      <c r="I254" t="s">
        <v>819</v>
      </c>
      <c r="J254" t="s">
        <v>820</v>
      </c>
      <c r="K254" t="s">
        <v>19</v>
      </c>
      <c r="L254" t="s">
        <v>20</v>
      </c>
      <c r="M254">
        <v>95</v>
      </c>
      <c r="N254" t="s">
        <v>21</v>
      </c>
      <c r="O254" t="s">
        <v>22</v>
      </c>
      <c r="P254" t="s">
        <v>23</v>
      </c>
    </row>
    <row r="255" spans="1:16" x14ac:dyDescent="0.3">
      <c r="A255" t="s">
        <v>821</v>
      </c>
      <c r="B255" t="s">
        <v>822</v>
      </c>
      <c r="C255" s="1">
        <v>45239</v>
      </c>
      <c r="D255" s="1">
        <v>45239</v>
      </c>
      <c r="E255">
        <v>2950</v>
      </c>
      <c r="F255">
        <v>2950</v>
      </c>
      <c r="G255">
        <v>0</v>
      </c>
      <c r="H255">
        <v>0</v>
      </c>
      <c r="I255" t="s">
        <v>108</v>
      </c>
      <c r="J255" t="s">
        <v>109</v>
      </c>
      <c r="K255" t="s">
        <v>19</v>
      </c>
      <c r="L255" t="s">
        <v>110</v>
      </c>
      <c r="M255">
        <v>100</v>
      </c>
      <c r="N255" t="s">
        <v>21</v>
      </c>
      <c r="O255" t="s">
        <v>22</v>
      </c>
      <c r="P255" t="s">
        <v>23</v>
      </c>
    </row>
    <row r="256" spans="1:16" x14ac:dyDescent="0.3">
      <c r="A256" t="s">
        <v>823</v>
      </c>
      <c r="B256" t="s">
        <v>824</v>
      </c>
      <c r="C256" s="1">
        <v>45239</v>
      </c>
      <c r="D256" s="1">
        <v>45239</v>
      </c>
      <c r="E256">
        <v>200</v>
      </c>
      <c r="F256">
        <v>200</v>
      </c>
      <c r="G256">
        <v>0</v>
      </c>
      <c r="H256">
        <v>0</v>
      </c>
      <c r="I256" t="s">
        <v>825</v>
      </c>
      <c r="J256" t="s">
        <v>826</v>
      </c>
      <c r="K256" t="s">
        <v>19</v>
      </c>
      <c r="L256" t="s">
        <v>20</v>
      </c>
      <c r="M256">
        <v>95</v>
      </c>
      <c r="N256" t="s">
        <v>21</v>
      </c>
      <c r="O256" t="s">
        <v>22</v>
      </c>
      <c r="P256" t="s">
        <v>23</v>
      </c>
    </row>
    <row r="257" spans="1:16" x14ac:dyDescent="0.3">
      <c r="A257" t="s">
        <v>827</v>
      </c>
      <c r="B257" t="s">
        <v>828</v>
      </c>
      <c r="C257" s="1">
        <v>45239</v>
      </c>
      <c r="D257" s="1">
        <v>45239</v>
      </c>
      <c r="E257">
        <v>140</v>
      </c>
      <c r="F257">
        <v>140</v>
      </c>
      <c r="G257">
        <v>0</v>
      </c>
      <c r="H257">
        <v>0</v>
      </c>
      <c r="I257" t="s">
        <v>829</v>
      </c>
      <c r="J257" t="s">
        <v>830</v>
      </c>
      <c r="K257" t="s">
        <v>19</v>
      </c>
      <c r="L257" t="s">
        <v>20</v>
      </c>
      <c r="M257">
        <v>95</v>
      </c>
      <c r="N257" t="s">
        <v>21</v>
      </c>
      <c r="O257" t="s">
        <v>22</v>
      </c>
      <c r="P257" t="s">
        <v>23</v>
      </c>
    </row>
    <row r="258" spans="1:16" x14ac:dyDescent="0.3">
      <c r="A258" t="s">
        <v>831</v>
      </c>
      <c r="B258" t="s">
        <v>832</v>
      </c>
      <c r="C258" s="1">
        <v>45240</v>
      </c>
      <c r="D258" s="1">
        <v>45240</v>
      </c>
      <c r="E258">
        <v>10</v>
      </c>
      <c r="F258">
        <v>10</v>
      </c>
      <c r="G258">
        <v>0</v>
      </c>
      <c r="H258">
        <v>0</v>
      </c>
      <c r="I258" t="s">
        <v>108</v>
      </c>
      <c r="J258" t="s">
        <v>109</v>
      </c>
      <c r="K258" t="s">
        <v>19</v>
      </c>
      <c r="L258" t="s">
        <v>110</v>
      </c>
      <c r="M258">
        <v>100</v>
      </c>
      <c r="N258" t="s">
        <v>21</v>
      </c>
      <c r="O258" t="s">
        <v>22</v>
      </c>
      <c r="P258" t="s">
        <v>23</v>
      </c>
    </row>
    <row r="259" spans="1:16" x14ac:dyDescent="0.3">
      <c r="A259" t="s">
        <v>833</v>
      </c>
      <c r="B259" t="s">
        <v>834</v>
      </c>
      <c r="C259" s="1">
        <v>45240</v>
      </c>
      <c r="D259" s="1">
        <v>45240</v>
      </c>
      <c r="E259">
        <v>1250</v>
      </c>
      <c r="F259">
        <v>1250</v>
      </c>
      <c r="G259">
        <v>0</v>
      </c>
      <c r="H259">
        <v>0</v>
      </c>
      <c r="I259" t="s">
        <v>835</v>
      </c>
      <c r="J259" t="s">
        <v>836</v>
      </c>
      <c r="K259" t="s">
        <v>19</v>
      </c>
      <c r="L259" t="s">
        <v>20</v>
      </c>
      <c r="M259">
        <v>95</v>
      </c>
      <c r="N259" t="s">
        <v>21</v>
      </c>
      <c r="O259" t="s">
        <v>22</v>
      </c>
      <c r="P259" t="s">
        <v>23</v>
      </c>
    </row>
    <row r="260" spans="1:16" x14ac:dyDescent="0.3">
      <c r="A260" t="s">
        <v>837</v>
      </c>
      <c r="B260" t="s">
        <v>838</v>
      </c>
      <c r="C260" s="1">
        <v>45240</v>
      </c>
      <c r="D260" s="1">
        <v>45240</v>
      </c>
      <c r="E260">
        <v>50</v>
      </c>
      <c r="F260">
        <v>50</v>
      </c>
      <c r="G260">
        <v>0</v>
      </c>
      <c r="H260">
        <v>0</v>
      </c>
      <c r="I260" t="s">
        <v>839</v>
      </c>
      <c r="J260" t="s">
        <v>840</v>
      </c>
      <c r="K260" t="s">
        <v>19</v>
      </c>
      <c r="L260" t="s">
        <v>20</v>
      </c>
      <c r="M260">
        <v>95</v>
      </c>
      <c r="N260" t="s">
        <v>21</v>
      </c>
      <c r="O260" t="s">
        <v>22</v>
      </c>
      <c r="P260" t="s">
        <v>23</v>
      </c>
    </row>
    <row r="261" spans="1:16" x14ac:dyDescent="0.3">
      <c r="A261" t="s">
        <v>841</v>
      </c>
      <c r="B261" t="s">
        <v>842</v>
      </c>
      <c r="C261" s="1">
        <v>45241</v>
      </c>
      <c r="D261" s="1">
        <v>45241</v>
      </c>
      <c r="E261">
        <v>3440</v>
      </c>
      <c r="F261">
        <v>3440</v>
      </c>
      <c r="G261">
        <v>0</v>
      </c>
      <c r="H261">
        <v>0</v>
      </c>
      <c r="I261" t="s">
        <v>108</v>
      </c>
      <c r="J261" t="s">
        <v>109</v>
      </c>
      <c r="K261" t="s">
        <v>19</v>
      </c>
      <c r="L261" t="s">
        <v>110</v>
      </c>
      <c r="M261">
        <v>100</v>
      </c>
      <c r="N261" t="s">
        <v>21</v>
      </c>
      <c r="O261" t="s">
        <v>22</v>
      </c>
      <c r="P261" t="s">
        <v>23</v>
      </c>
    </row>
    <row r="262" spans="1:16" x14ac:dyDescent="0.3">
      <c r="A262" t="s">
        <v>843</v>
      </c>
      <c r="B262" t="s">
        <v>844</v>
      </c>
      <c r="C262" s="1">
        <v>45241</v>
      </c>
      <c r="D262" s="1">
        <v>45241</v>
      </c>
      <c r="E262">
        <v>40</v>
      </c>
      <c r="F262">
        <v>40</v>
      </c>
      <c r="G262">
        <v>0</v>
      </c>
      <c r="H262">
        <v>0</v>
      </c>
      <c r="I262" t="s">
        <v>845</v>
      </c>
      <c r="J262" t="s">
        <v>846</v>
      </c>
      <c r="K262" t="s">
        <v>19</v>
      </c>
      <c r="L262" t="s">
        <v>20</v>
      </c>
      <c r="M262">
        <v>95</v>
      </c>
      <c r="N262" t="s">
        <v>21</v>
      </c>
      <c r="O262" t="s">
        <v>22</v>
      </c>
      <c r="P262" t="s">
        <v>23</v>
      </c>
    </row>
    <row r="263" spans="1:16" x14ac:dyDescent="0.3">
      <c r="A263" t="s">
        <v>847</v>
      </c>
      <c r="B263" t="s">
        <v>848</v>
      </c>
      <c r="C263" s="1">
        <v>45241</v>
      </c>
      <c r="D263" s="1">
        <v>45241</v>
      </c>
      <c r="E263">
        <v>120</v>
      </c>
      <c r="F263">
        <v>120</v>
      </c>
      <c r="G263">
        <v>0</v>
      </c>
      <c r="H263">
        <v>0</v>
      </c>
      <c r="I263" t="s">
        <v>96</v>
      </c>
      <c r="J263" t="s">
        <v>97</v>
      </c>
      <c r="K263" t="s">
        <v>19</v>
      </c>
      <c r="L263" t="s">
        <v>20</v>
      </c>
      <c r="M263">
        <v>95</v>
      </c>
      <c r="N263" t="s">
        <v>21</v>
      </c>
      <c r="O263" t="s">
        <v>22</v>
      </c>
      <c r="P263" t="s">
        <v>23</v>
      </c>
    </row>
    <row r="264" spans="1:16" x14ac:dyDescent="0.3">
      <c r="A264" t="s">
        <v>849</v>
      </c>
      <c r="B264" t="s">
        <v>850</v>
      </c>
      <c r="C264" s="1">
        <v>45241</v>
      </c>
      <c r="D264" s="1">
        <v>45241</v>
      </c>
      <c r="E264">
        <v>30</v>
      </c>
      <c r="F264">
        <v>30</v>
      </c>
      <c r="G264">
        <v>0</v>
      </c>
      <c r="H264">
        <v>0</v>
      </c>
      <c r="I264" t="s">
        <v>626</v>
      </c>
      <c r="J264" t="s">
        <v>627</v>
      </c>
      <c r="K264" t="s">
        <v>19</v>
      </c>
      <c r="L264" t="s">
        <v>20</v>
      </c>
      <c r="M264">
        <v>95</v>
      </c>
      <c r="N264" t="s">
        <v>21</v>
      </c>
      <c r="O264" t="s">
        <v>22</v>
      </c>
      <c r="P264" t="s">
        <v>23</v>
      </c>
    </row>
    <row r="265" spans="1:16" x14ac:dyDescent="0.3">
      <c r="A265" t="s">
        <v>851</v>
      </c>
      <c r="B265" t="s">
        <v>852</v>
      </c>
      <c r="C265" s="1">
        <v>45241</v>
      </c>
      <c r="D265" s="1">
        <v>45241</v>
      </c>
      <c r="E265">
        <v>170</v>
      </c>
      <c r="F265">
        <v>170</v>
      </c>
      <c r="G265">
        <v>0</v>
      </c>
      <c r="H265">
        <v>0</v>
      </c>
      <c r="I265" t="s">
        <v>853</v>
      </c>
      <c r="J265" t="s">
        <v>854</v>
      </c>
      <c r="K265" t="s">
        <v>19</v>
      </c>
      <c r="L265" t="s">
        <v>20</v>
      </c>
      <c r="M265">
        <v>95</v>
      </c>
      <c r="N265" t="s">
        <v>21</v>
      </c>
      <c r="O265" t="s">
        <v>22</v>
      </c>
      <c r="P265" t="s">
        <v>23</v>
      </c>
    </row>
    <row r="266" spans="1:16" x14ac:dyDescent="0.3">
      <c r="A266" t="s">
        <v>855</v>
      </c>
      <c r="B266" t="s">
        <v>856</v>
      </c>
      <c r="C266" s="1">
        <v>45241</v>
      </c>
      <c r="D266" s="1">
        <v>45241</v>
      </c>
      <c r="E266">
        <v>330</v>
      </c>
      <c r="F266">
        <v>330</v>
      </c>
      <c r="G266">
        <v>0</v>
      </c>
      <c r="H266">
        <v>0</v>
      </c>
      <c r="I266" t="s">
        <v>857</v>
      </c>
      <c r="J266" t="s">
        <v>858</v>
      </c>
      <c r="K266" t="s">
        <v>91</v>
      </c>
      <c r="L266" t="s">
        <v>92</v>
      </c>
      <c r="M266">
        <v>85</v>
      </c>
      <c r="N266" t="s">
        <v>93</v>
      </c>
      <c r="O266" t="s">
        <v>219</v>
      </c>
      <c r="P266" t="s">
        <v>220</v>
      </c>
    </row>
    <row r="267" spans="1:16" x14ac:dyDescent="0.3">
      <c r="A267" t="s">
        <v>859</v>
      </c>
      <c r="B267" t="s">
        <v>860</v>
      </c>
      <c r="C267" s="1">
        <v>45242</v>
      </c>
      <c r="D267" s="1">
        <v>45242</v>
      </c>
      <c r="E267">
        <v>4730</v>
      </c>
      <c r="F267">
        <v>4730</v>
      </c>
      <c r="G267">
        <v>0</v>
      </c>
      <c r="H267">
        <v>0</v>
      </c>
      <c r="I267" t="s">
        <v>108</v>
      </c>
      <c r="J267" t="s">
        <v>109</v>
      </c>
      <c r="K267" t="s">
        <v>19</v>
      </c>
      <c r="L267" t="s">
        <v>110</v>
      </c>
      <c r="M267">
        <v>100</v>
      </c>
      <c r="N267" t="s">
        <v>21</v>
      </c>
      <c r="O267" t="s">
        <v>22</v>
      </c>
      <c r="P267" t="s">
        <v>23</v>
      </c>
    </row>
    <row r="268" spans="1:16" x14ac:dyDescent="0.3">
      <c r="A268" t="s">
        <v>861</v>
      </c>
      <c r="B268" t="s">
        <v>862</v>
      </c>
      <c r="C268" s="1">
        <v>45242</v>
      </c>
      <c r="D268" s="1">
        <v>45242</v>
      </c>
      <c r="E268">
        <v>1660</v>
      </c>
      <c r="F268">
        <v>1660</v>
      </c>
      <c r="G268">
        <v>0</v>
      </c>
      <c r="H268">
        <v>0</v>
      </c>
      <c r="I268" t="s">
        <v>863</v>
      </c>
      <c r="J268" t="s">
        <v>864</v>
      </c>
      <c r="K268" t="s">
        <v>19</v>
      </c>
      <c r="L268" t="s">
        <v>20</v>
      </c>
      <c r="M268">
        <v>95</v>
      </c>
      <c r="N268" t="s">
        <v>21</v>
      </c>
      <c r="O268" t="s">
        <v>22</v>
      </c>
      <c r="P268" t="s">
        <v>23</v>
      </c>
    </row>
    <row r="269" spans="1:16" x14ac:dyDescent="0.3">
      <c r="A269" t="s">
        <v>865</v>
      </c>
      <c r="B269" t="s">
        <v>866</v>
      </c>
      <c r="C269" s="1">
        <v>45242</v>
      </c>
      <c r="D269" s="1">
        <v>45242</v>
      </c>
      <c r="E269">
        <v>50</v>
      </c>
      <c r="F269">
        <v>50</v>
      </c>
      <c r="G269">
        <v>0</v>
      </c>
      <c r="H269">
        <v>0</v>
      </c>
      <c r="I269" t="s">
        <v>867</v>
      </c>
      <c r="J269" t="s">
        <v>868</v>
      </c>
      <c r="K269" t="s">
        <v>19</v>
      </c>
      <c r="L269" t="s">
        <v>20</v>
      </c>
      <c r="M269">
        <v>95</v>
      </c>
      <c r="N269" t="s">
        <v>21</v>
      </c>
      <c r="O269" t="s">
        <v>22</v>
      </c>
      <c r="P269" t="s">
        <v>23</v>
      </c>
    </row>
    <row r="270" spans="1:16" x14ac:dyDescent="0.3">
      <c r="A270" t="s">
        <v>869</v>
      </c>
      <c r="B270" t="s">
        <v>870</v>
      </c>
      <c r="C270" s="1">
        <v>45242</v>
      </c>
      <c r="D270" s="1">
        <v>45242</v>
      </c>
      <c r="E270">
        <v>1500</v>
      </c>
      <c r="F270">
        <v>1500</v>
      </c>
      <c r="G270">
        <v>0</v>
      </c>
      <c r="H270">
        <v>0</v>
      </c>
      <c r="I270" t="s">
        <v>863</v>
      </c>
      <c r="J270" t="s">
        <v>864</v>
      </c>
      <c r="K270" t="s">
        <v>19</v>
      </c>
      <c r="L270" t="s">
        <v>20</v>
      </c>
      <c r="M270">
        <v>95</v>
      </c>
      <c r="N270" t="s">
        <v>21</v>
      </c>
      <c r="O270" t="s">
        <v>22</v>
      </c>
      <c r="P270" t="s">
        <v>23</v>
      </c>
    </row>
    <row r="271" spans="1:16" x14ac:dyDescent="0.3">
      <c r="A271" t="s">
        <v>871</v>
      </c>
      <c r="B271" t="s">
        <v>872</v>
      </c>
      <c r="C271" s="1">
        <v>45243</v>
      </c>
      <c r="D271" s="1">
        <v>45243</v>
      </c>
      <c r="E271">
        <v>420</v>
      </c>
      <c r="F271">
        <v>420</v>
      </c>
      <c r="G271">
        <v>0</v>
      </c>
      <c r="H271">
        <v>0</v>
      </c>
      <c r="I271" t="s">
        <v>81</v>
      </c>
      <c r="J271" t="s">
        <v>82</v>
      </c>
      <c r="K271" t="s">
        <v>19</v>
      </c>
      <c r="L271" t="s">
        <v>20</v>
      </c>
      <c r="M271">
        <v>95</v>
      </c>
      <c r="N271" t="s">
        <v>21</v>
      </c>
      <c r="O271" t="s">
        <v>22</v>
      </c>
      <c r="P271" t="s">
        <v>23</v>
      </c>
    </row>
    <row r="272" spans="1:16" x14ac:dyDescent="0.3">
      <c r="A272" t="s">
        <v>873</v>
      </c>
      <c r="B272" t="s">
        <v>874</v>
      </c>
      <c r="C272" s="1">
        <v>45243</v>
      </c>
      <c r="D272" s="1">
        <v>45243</v>
      </c>
      <c r="E272">
        <v>300</v>
      </c>
      <c r="F272">
        <v>300</v>
      </c>
      <c r="G272">
        <v>0</v>
      </c>
      <c r="H272">
        <v>0</v>
      </c>
      <c r="I272" t="s">
        <v>875</v>
      </c>
      <c r="J272" t="s">
        <v>876</v>
      </c>
      <c r="K272" t="s">
        <v>19</v>
      </c>
      <c r="L272" t="s">
        <v>20</v>
      </c>
      <c r="M272">
        <v>95</v>
      </c>
      <c r="N272" t="s">
        <v>21</v>
      </c>
      <c r="O272" t="s">
        <v>22</v>
      </c>
      <c r="P272" t="s">
        <v>23</v>
      </c>
    </row>
    <row r="273" spans="1:16" x14ac:dyDescent="0.3">
      <c r="A273" t="s">
        <v>877</v>
      </c>
      <c r="B273" t="s">
        <v>878</v>
      </c>
      <c r="C273" s="1">
        <v>45243</v>
      </c>
      <c r="D273" s="1">
        <v>45243</v>
      </c>
      <c r="E273">
        <v>500</v>
      </c>
      <c r="F273">
        <v>500</v>
      </c>
      <c r="G273">
        <v>0</v>
      </c>
      <c r="H273">
        <v>0</v>
      </c>
      <c r="I273" t="s">
        <v>875</v>
      </c>
      <c r="J273" t="s">
        <v>876</v>
      </c>
      <c r="K273" t="s">
        <v>19</v>
      </c>
      <c r="L273" t="s">
        <v>20</v>
      </c>
      <c r="M273">
        <v>95</v>
      </c>
      <c r="N273" t="s">
        <v>21</v>
      </c>
      <c r="O273" t="s">
        <v>22</v>
      </c>
      <c r="P273" t="s">
        <v>23</v>
      </c>
    </row>
    <row r="274" spans="1:16" x14ac:dyDescent="0.3">
      <c r="A274" t="s">
        <v>879</v>
      </c>
      <c r="B274" t="s">
        <v>880</v>
      </c>
      <c r="C274" s="1">
        <v>45244</v>
      </c>
      <c r="D274" s="1">
        <v>45244</v>
      </c>
      <c r="E274">
        <v>239</v>
      </c>
      <c r="F274">
        <v>239</v>
      </c>
      <c r="G274">
        <v>0</v>
      </c>
      <c r="H274">
        <v>0</v>
      </c>
      <c r="I274" t="s">
        <v>719</v>
      </c>
      <c r="J274" t="s">
        <v>720</v>
      </c>
      <c r="K274" t="s">
        <v>19</v>
      </c>
      <c r="L274" t="s">
        <v>20</v>
      </c>
      <c r="M274">
        <v>95</v>
      </c>
      <c r="N274" t="s">
        <v>21</v>
      </c>
      <c r="O274" t="s">
        <v>22</v>
      </c>
      <c r="P274" t="s">
        <v>23</v>
      </c>
    </row>
    <row r="275" spans="1:16" x14ac:dyDescent="0.3">
      <c r="A275" t="s">
        <v>881</v>
      </c>
      <c r="B275" t="s">
        <v>882</v>
      </c>
      <c r="C275" s="1">
        <v>45244</v>
      </c>
      <c r="D275" s="1">
        <v>45244</v>
      </c>
      <c r="E275">
        <v>1</v>
      </c>
      <c r="F275">
        <v>1</v>
      </c>
      <c r="G275">
        <v>0</v>
      </c>
      <c r="H275">
        <v>0</v>
      </c>
      <c r="I275" t="s">
        <v>883</v>
      </c>
      <c r="J275" t="s">
        <v>884</v>
      </c>
      <c r="K275" t="s">
        <v>91</v>
      </c>
      <c r="L275" t="s">
        <v>92</v>
      </c>
      <c r="M275">
        <v>85</v>
      </c>
      <c r="N275" t="s">
        <v>93</v>
      </c>
      <c r="O275" t="s">
        <v>22</v>
      </c>
      <c r="P275" t="s">
        <v>23</v>
      </c>
    </row>
    <row r="276" spans="1:16" x14ac:dyDescent="0.3">
      <c r="A276" t="s">
        <v>885</v>
      </c>
      <c r="B276" t="s">
        <v>886</v>
      </c>
      <c r="C276" s="1">
        <v>45244</v>
      </c>
      <c r="D276" s="1">
        <v>45244</v>
      </c>
      <c r="E276">
        <v>1</v>
      </c>
      <c r="F276">
        <v>1</v>
      </c>
      <c r="G276">
        <v>0</v>
      </c>
      <c r="H276">
        <v>0</v>
      </c>
      <c r="I276" t="s">
        <v>887</v>
      </c>
      <c r="J276" t="s">
        <v>888</v>
      </c>
      <c r="K276" t="s">
        <v>19</v>
      </c>
      <c r="L276" t="s">
        <v>20</v>
      </c>
      <c r="M276">
        <v>95</v>
      </c>
      <c r="N276" t="s">
        <v>21</v>
      </c>
      <c r="O276" t="s">
        <v>22</v>
      </c>
      <c r="P276" t="s">
        <v>23</v>
      </c>
    </row>
    <row r="277" spans="1:16" x14ac:dyDescent="0.3">
      <c r="A277" t="s">
        <v>889</v>
      </c>
      <c r="B277" t="s">
        <v>890</v>
      </c>
      <c r="C277" s="1">
        <v>45244</v>
      </c>
      <c r="D277" s="1">
        <v>45244</v>
      </c>
      <c r="E277">
        <v>37999</v>
      </c>
      <c r="F277">
        <v>37999</v>
      </c>
      <c r="G277">
        <v>0</v>
      </c>
      <c r="H277">
        <v>0</v>
      </c>
      <c r="I277" t="s">
        <v>891</v>
      </c>
      <c r="J277" t="s">
        <v>892</v>
      </c>
      <c r="K277" t="s">
        <v>19</v>
      </c>
      <c r="L277" t="s">
        <v>20</v>
      </c>
      <c r="M277">
        <v>95</v>
      </c>
      <c r="N277" t="s">
        <v>21</v>
      </c>
      <c r="O277" t="s">
        <v>22</v>
      </c>
      <c r="P277" t="s">
        <v>23</v>
      </c>
    </row>
    <row r="278" spans="1:16" x14ac:dyDescent="0.3">
      <c r="A278" t="s">
        <v>893</v>
      </c>
      <c r="B278" t="s">
        <v>894</v>
      </c>
      <c r="C278" s="1">
        <v>45244</v>
      </c>
      <c r="D278" s="1">
        <v>45244</v>
      </c>
      <c r="E278">
        <v>1</v>
      </c>
      <c r="F278">
        <v>1</v>
      </c>
      <c r="G278">
        <v>0</v>
      </c>
      <c r="H278">
        <v>0</v>
      </c>
      <c r="I278" t="s">
        <v>895</v>
      </c>
      <c r="J278" t="s">
        <v>896</v>
      </c>
      <c r="K278" t="s">
        <v>19</v>
      </c>
      <c r="L278" t="s">
        <v>20</v>
      </c>
      <c r="M278">
        <v>95</v>
      </c>
      <c r="N278" t="s">
        <v>21</v>
      </c>
      <c r="O278" t="s">
        <v>22</v>
      </c>
      <c r="P278" t="s">
        <v>23</v>
      </c>
    </row>
    <row r="279" spans="1:16" x14ac:dyDescent="0.3">
      <c r="A279" t="s">
        <v>897</v>
      </c>
      <c r="B279" t="s">
        <v>898</v>
      </c>
      <c r="C279" s="1">
        <v>45244</v>
      </c>
      <c r="D279" s="1">
        <v>45244</v>
      </c>
      <c r="E279">
        <v>16500</v>
      </c>
      <c r="F279">
        <v>16500</v>
      </c>
      <c r="G279">
        <v>0</v>
      </c>
      <c r="H279">
        <v>0</v>
      </c>
      <c r="I279" t="s">
        <v>895</v>
      </c>
      <c r="J279" t="s">
        <v>896</v>
      </c>
      <c r="K279" t="s">
        <v>19</v>
      </c>
      <c r="L279" t="s">
        <v>20</v>
      </c>
      <c r="M279">
        <v>95</v>
      </c>
      <c r="N279" t="s">
        <v>21</v>
      </c>
      <c r="O279" t="s">
        <v>22</v>
      </c>
      <c r="P279" t="s">
        <v>23</v>
      </c>
    </row>
    <row r="280" spans="1:16" x14ac:dyDescent="0.3">
      <c r="A280" t="s">
        <v>899</v>
      </c>
      <c r="B280" t="s">
        <v>900</v>
      </c>
      <c r="C280" s="1">
        <v>45244</v>
      </c>
      <c r="D280" s="1">
        <v>45244</v>
      </c>
      <c r="E280">
        <v>2000</v>
      </c>
      <c r="F280">
        <v>2000</v>
      </c>
      <c r="G280">
        <v>0</v>
      </c>
      <c r="H280">
        <v>0</v>
      </c>
      <c r="I280" t="s">
        <v>901</v>
      </c>
      <c r="J280" t="s">
        <v>902</v>
      </c>
      <c r="K280" t="s">
        <v>19</v>
      </c>
      <c r="L280" t="s">
        <v>20</v>
      </c>
      <c r="M280">
        <v>95</v>
      </c>
      <c r="N280" t="s">
        <v>21</v>
      </c>
      <c r="O280" t="s">
        <v>22</v>
      </c>
      <c r="P280" t="s">
        <v>23</v>
      </c>
    </row>
    <row r="281" spans="1:16" x14ac:dyDescent="0.3">
      <c r="A281" t="s">
        <v>903</v>
      </c>
      <c r="B281" t="s">
        <v>904</v>
      </c>
      <c r="C281" s="1">
        <v>45244</v>
      </c>
      <c r="D281" s="1">
        <v>45244</v>
      </c>
      <c r="E281">
        <v>340</v>
      </c>
      <c r="F281">
        <v>340</v>
      </c>
      <c r="G281">
        <v>0</v>
      </c>
      <c r="H281">
        <v>0</v>
      </c>
      <c r="I281" t="s">
        <v>96</v>
      </c>
      <c r="J281" t="s">
        <v>97</v>
      </c>
      <c r="K281" t="s">
        <v>19</v>
      </c>
      <c r="L281" t="s">
        <v>20</v>
      </c>
      <c r="M281">
        <v>95</v>
      </c>
      <c r="N281" t="s">
        <v>21</v>
      </c>
      <c r="O281" t="s">
        <v>22</v>
      </c>
      <c r="P281" t="s">
        <v>23</v>
      </c>
    </row>
    <row r="282" spans="1:16" x14ac:dyDescent="0.3">
      <c r="A282" t="s">
        <v>905</v>
      </c>
      <c r="B282" t="s">
        <v>906</v>
      </c>
      <c r="C282" s="1">
        <v>45244</v>
      </c>
      <c r="D282" s="1">
        <v>45244</v>
      </c>
      <c r="E282">
        <v>80</v>
      </c>
      <c r="F282">
        <v>80</v>
      </c>
      <c r="G282">
        <v>0</v>
      </c>
      <c r="H282">
        <v>0</v>
      </c>
      <c r="I282" t="s">
        <v>907</v>
      </c>
      <c r="J282" t="s">
        <v>908</v>
      </c>
      <c r="K282" t="s">
        <v>19</v>
      </c>
      <c r="L282" t="s">
        <v>20</v>
      </c>
      <c r="M282">
        <v>95</v>
      </c>
      <c r="N282" t="s">
        <v>21</v>
      </c>
      <c r="O282" t="s">
        <v>22</v>
      </c>
      <c r="P282" t="s">
        <v>23</v>
      </c>
    </row>
    <row r="283" spans="1:16" x14ac:dyDescent="0.3">
      <c r="A283" t="s">
        <v>909</v>
      </c>
      <c r="B283" t="s">
        <v>910</v>
      </c>
      <c r="C283" s="1">
        <v>45245</v>
      </c>
      <c r="D283" s="1">
        <v>45245</v>
      </c>
      <c r="E283">
        <v>2000</v>
      </c>
      <c r="F283">
        <v>2000</v>
      </c>
      <c r="G283">
        <v>0</v>
      </c>
      <c r="H283">
        <v>0</v>
      </c>
      <c r="I283" t="s">
        <v>911</v>
      </c>
      <c r="J283" t="s">
        <v>912</v>
      </c>
      <c r="K283" t="s">
        <v>91</v>
      </c>
      <c r="L283" t="s">
        <v>92</v>
      </c>
      <c r="M283">
        <v>85</v>
      </c>
      <c r="N283" t="s">
        <v>93</v>
      </c>
      <c r="O283" t="s">
        <v>22</v>
      </c>
      <c r="P283" t="s">
        <v>23</v>
      </c>
    </row>
    <row r="284" spans="1:16" x14ac:dyDescent="0.3">
      <c r="A284" t="s">
        <v>913</v>
      </c>
      <c r="B284" t="s">
        <v>914</v>
      </c>
      <c r="C284" s="1">
        <v>45245</v>
      </c>
      <c r="D284" s="1">
        <v>45245</v>
      </c>
      <c r="E284">
        <v>2000</v>
      </c>
      <c r="F284">
        <v>2000</v>
      </c>
      <c r="G284">
        <v>0</v>
      </c>
      <c r="H284">
        <v>0</v>
      </c>
      <c r="I284" t="s">
        <v>915</v>
      </c>
      <c r="J284" t="s">
        <v>916</v>
      </c>
      <c r="K284" t="s">
        <v>19</v>
      </c>
      <c r="L284" t="s">
        <v>20</v>
      </c>
      <c r="M284">
        <v>95</v>
      </c>
      <c r="N284" t="s">
        <v>21</v>
      </c>
      <c r="O284" t="s">
        <v>22</v>
      </c>
      <c r="P284" t="s">
        <v>23</v>
      </c>
    </row>
    <row r="285" spans="1:16" x14ac:dyDescent="0.3">
      <c r="A285" t="s">
        <v>917</v>
      </c>
      <c r="B285" t="s">
        <v>918</v>
      </c>
      <c r="C285" s="1">
        <v>45245</v>
      </c>
      <c r="D285" s="1">
        <v>45245</v>
      </c>
      <c r="E285">
        <v>2000</v>
      </c>
      <c r="F285">
        <v>2000</v>
      </c>
      <c r="G285">
        <v>0</v>
      </c>
      <c r="H285">
        <v>0</v>
      </c>
      <c r="I285" t="s">
        <v>919</v>
      </c>
      <c r="J285" t="s">
        <v>920</v>
      </c>
      <c r="K285" t="s">
        <v>19</v>
      </c>
      <c r="L285" t="s">
        <v>20</v>
      </c>
      <c r="M285">
        <v>95</v>
      </c>
      <c r="N285" t="s">
        <v>21</v>
      </c>
      <c r="O285" t="s">
        <v>22</v>
      </c>
      <c r="P285" t="s">
        <v>23</v>
      </c>
    </row>
    <row r="286" spans="1:16" x14ac:dyDescent="0.3">
      <c r="A286" t="s">
        <v>921</v>
      </c>
      <c r="B286" t="s">
        <v>922</v>
      </c>
      <c r="C286" s="1">
        <v>45245</v>
      </c>
      <c r="D286" s="1">
        <v>45245</v>
      </c>
      <c r="E286">
        <v>1</v>
      </c>
      <c r="F286">
        <v>1</v>
      </c>
      <c r="G286">
        <v>0</v>
      </c>
      <c r="H286">
        <v>0</v>
      </c>
      <c r="I286" t="s">
        <v>923</v>
      </c>
      <c r="J286" t="s">
        <v>924</v>
      </c>
      <c r="K286" t="s">
        <v>19</v>
      </c>
      <c r="L286" t="s">
        <v>20</v>
      </c>
      <c r="M286">
        <v>95</v>
      </c>
      <c r="N286" t="s">
        <v>21</v>
      </c>
      <c r="O286" t="s">
        <v>22</v>
      </c>
      <c r="P286" t="s">
        <v>23</v>
      </c>
    </row>
    <row r="287" spans="1:16" x14ac:dyDescent="0.3">
      <c r="A287" t="s">
        <v>925</v>
      </c>
      <c r="B287" t="s">
        <v>926</v>
      </c>
      <c r="C287" s="1">
        <v>45245</v>
      </c>
      <c r="D287" s="1">
        <v>45245</v>
      </c>
      <c r="E287">
        <v>10000</v>
      </c>
      <c r="F287">
        <v>10000</v>
      </c>
      <c r="G287">
        <v>0</v>
      </c>
      <c r="H287">
        <v>0</v>
      </c>
      <c r="I287" t="s">
        <v>927</v>
      </c>
      <c r="J287" t="s">
        <v>928</v>
      </c>
      <c r="K287" t="s">
        <v>19</v>
      </c>
      <c r="L287" t="s">
        <v>20</v>
      </c>
      <c r="M287">
        <v>95</v>
      </c>
      <c r="N287" t="s">
        <v>21</v>
      </c>
      <c r="O287" t="s">
        <v>22</v>
      </c>
      <c r="P287" t="s">
        <v>23</v>
      </c>
    </row>
    <row r="288" spans="1:16" x14ac:dyDescent="0.3">
      <c r="A288" t="s">
        <v>929</v>
      </c>
      <c r="B288" t="s">
        <v>930</v>
      </c>
      <c r="C288" s="1">
        <v>45245</v>
      </c>
      <c r="D288" s="1">
        <v>45245</v>
      </c>
      <c r="E288">
        <v>500</v>
      </c>
      <c r="F288">
        <v>500</v>
      </c>
      <c r="G288">
        <v>0</v>
      </c>
      <c r="H288">
        <v>0</v>
      </c>
      <c r="I288" t="s">
        <v>931</v>
      </c>
      <c r="J288" t="s">
        <v>932</v>
      </c>
      <c r="K288" t="s">
        <v>19</v>
      </c>
      <c r="L288" t="s">
        <v>20</v>
      </c>
      <c r="M288">
        <v>95</v>
      </c>
      <c r="N288" t="s">
        <v>21</v>
      </c>
      <c r="O288" t="s">
        <v>22</v>
      </c>
      <c r="P288" t="s">
        <v>23</v>
      </c>
    </row>
    <row r="289" spans="1:16" x14ac:dyDescent="0.3">
      <c r="A289" t="s">
        <v>933</v>
      </c>
      <c r="B289" t="s">
        <v>934</v>
      </c>
      <c r="C289" s="1">
        <v>45245</v>
      </c>
      <c r="D289" s="1">
        <v>45245</v>
      </c>
      <c r="E289">
        <v>10</v>
      </c>
      <c r="F289">
        <v>10</v>
      </c>
      <c r="G289">
        <v>0</v>
      </c>
      <c r="H289">
        <v>0</v>
      </c>
      <c r="I289" t="s">
        <v>935</v>
      </c>
      <c r="J289" t="s">
        <v>936</v>
      </c>
      <c r="K289" t="s">
        <v>19</v>
      </c>
      <c r="L289" t="s">
        <v>20</v>
      </c>
      <c r="M289">
        <v>95</v>
      </c>
      <c r="N289" t="s">
        <v>21</v>
      </c>
      <c r="O289" t="s">
        <v>22</v>
      </c>
      <c r="P289" t="s">
        <v>23</v>
      </c>
    </row>
    <row r="290" spans="1:16" x14ac:dyDescent="0.3">
      <c r="A290" t="s">
        <v>937</v>
      </c>
      <c r="B290" t="s">
        <v>938</v>
      </c>
      <c r="C290" s="1">
        <v>45246</v>
      </c>
      <c r="D290" s="1">
        <v>45246</v>
      </c>
      <c r="E290">
        <v>1320</v>
      </c>
      <c r="F290">
        <v>1320</v>
      </c>
      <c r="G290">
        <v>0</v>
      </c>
      <c r="H290">
        <v>0</v>
      </c>
      <c r="I290" t="s">
        <v>108</v>
      </c>
      <c r="J290" t="s">
        <v>109</v>
      </c>
      <c r="K290" t="s">
        <v>19</v>
      </c>
      <c r="L290" t="s">
        <v>110</v>
      </c>
      <c r="M290">
        <v>100</v>
      </c>
      <c r="N290" t="s">
        <v>21</v>
      </c>
      <c r="O290" t="s">
        <v>22</v>
      </c>
      <c r="P290" t="s">
        <v>23</v>
      </c>
    </row>
    <row r="291" spans="1:16" x14ac:dyDescent="0.3">
      <c r="A291" t="s">
        <v>939</v>
      </c>
      <c r="B291" t="s">
        <v>940</v>
      </c>
      <c r="C291" s="1">
        <v>45246</v>
      </c>
      <c r="D291" s="1">
        <v>45246</v>
      </c>
      <c r="E291">
        <v>400</v>
      </c>
      <c r="F291">
        <v>400</v>
      </c>
      <c r="G291">
        <v>0</v>
      </c>
      <c r="H291">
        <v>0</v>
      </c>
      <c r="I291" t="s">
        <v>161</v>
      </c>
      <c r="J291" t="s">
        <v>161</v>
      </c>
      <c r="K291" t="s">
        <v>19</v>
      </c>
      <c r="L291" t="s">
        <v>20</v>
      </c>
      <c r="M291">
        <v>95</v>
      </c>
      <c r="N291" t="s">
        <v>21</v>
      </c>
      <c r="O291" t="s">
        <v>22</v>
      </c>
      <c r="P291" t="s">
        <v>23</v>
      </c>
    </row>
    <row r="292" spans="1:16" x14ac:dyDescent="0.3">
      <c r="A292" t="s">
        <v>941</v>
      </c>
      <c r="B292" t="s">
        <v>942</v>
      </c>
      <c r="C292" s="1">
        <v>45246</v>
      </c>
      <c r="D292" s="1">
        <v>45246</v>
      </c>
      <c r="E292">
        <v>1000</v>
      </c>
      <c r="F292">
        <v>1000</v>
      </c>
      <c r="G292">
        <v>0</v>
      </c>
      <c r="H292">
        <v>0</v>
      </c>
      <c r="I292" t="s">
        <v>943</v>
      </c>
      <c r="J292" t="s">
        <v>944</v>
      </c>
      <c r="K292" t="s">
        <v>19</v>
      </c>
      <c r="L292" t="s">
        <v>20</v>
      </c>
      <c r="M292">
        <v>95</v>
      </c>
      <c r="N292" t="s">
        <v>21</v>
      </c>
      <c r="O292" t="s">
        <v>22</v>
      </c>
      <c r="P292" t="s">
        <v>23</v>
      </c>
    </row>
    <row r="293" spans="1:16" x14ac:dyDescent="0.3">
      <c r="A293" t="s">
        <v>945</v>
      </c>
      <c r="B293" t="s">
        <v>946</v>
      </c>
      <c r="C293" s="1">
        <v>45246</v>
      </c>
      <c r="D293" s="1">
        <v>45246</v>
      </c>
      <c r="E293">
        <v>45000</v>
      </c>
      <c r="F293">
        <v>45000</v>
      </c>
      <c r="G293">
        <v>0</v>
      </c>
      <c r="H293">
        <v>0</v>
      </c>
      <c r="I293" t="s">
        <v>947</v>
      </c>
      <c r="J293" t="s">
        <v>948</v>
      </c>
      <c r="K293" t="s">
        <v>19</v>
      </c>
      <c r="L293" t="s">
        <v>20</v>
      </c>
      <c r="M293">
        <v>95</v>
      </c>
      <c r="N293" t="s">
        <v>21</v>
      </c>
      <c r="O293" t="s">
        <v>22</v>
      </c>
      <c r="P293" t="s">
        <v>23</v>
      </c>
    </row>
    <row r="294" spans="1:16" x14ac:dyDescent="0.3">
      <c r="A294" t="s">
        <v>949</v>
      </c>
      <c r="B294" t="s">
        <v>950</v>
      </c>
      <c r="C294" s="1">
        <v>45247</v>
      </c>
      <c r="D294" s="1">
        <v>45247</v>
      </c>
      <c r="E294">
        <v>270</v>
      </c>
      <c r="F294">
        <v>270</v>
      </c>
      <c r="G294">
        <v>0</v>
      </c>
      <c r="H294">
        <v>0</v>
      </c>
      <c r="I294" t="s">
        <v>108</v>
      </c>
      <c r="J294" t="s">
        <v>109</v>
      </c>
      <c r="K294" t="s">
        <v>19</v>
      </c>
      <c r="L294" t="s">
        <v>110</v>
      </c>
      <c r="M294">
        <v>100</v>
      </c>
      <c r="N294" t="s">
        <v>21</v>
      </c>
      <c r="O294" t="s">
        <v>22</v>
      </c>
      <c r="P294" t="s">
        <v>23</v>
      </c>
    </row>
    <row r="295" spans="1:16" x14ac:dyDescent="0.3">
      <c r="A295" t="s">
        <v>951</v>
      </c>
      <c r="B295" t="s">
        <v>952</v>
      </c>
      <c r="C295" s="1">
        <v>45247</v>
      </c>
      <c r="D295" s="1">
        <v>45247</v>
      </c>
      <c r="E295">
        <v>50</v>
      </c>
      <c r="F295">
        <v>50</v>
      </c>
      <c r="G295">
        <v>0</v>
      </c>
      <c r="H295">
        <v>0</v>
      </c>
      <c r="I295" t="s">
        <v>758</v>
      </c>
      <c r="J295" t="s">
        <v>759</v>
      </c>
      <c r="K295" t="s">
        <v>19</v>
      </c>
      <c r="L295" t="s">
        <v>20</v>
      </c>
      <c r="M295">
        <v>95</v>
      </c>
      <c r="N295" t="s">
        <v>21</v>
      </c>
      <c r="O295" t="s">
        <v>22</v>
      </c>
      <c r="P295" t="s">
        <v>23</v>
      </c>
    </row>
    <row r="296" spans="1:16" x14ac:dyDescent="0.3">
      <c r="A296" t="s">
        <v>953</v>
      </c>
      <c r="B296" t="s">
        <v>954</v>
      </c>
      <c r="C296" s="1">
        <v>45247</v>
      </c>
      <c r="D296" s="1">
        <v>45247</v>
      </c>
      <c r="E296">
        <v>2000</v>
      </c>
      <c r="F296">
        <v>2000</v>
      </c>
      <c r="G296">
        <v>0</v>
      </c>
      <c r="H296">
        <v>0</v>
      </c>
      <c r="I296" t="s">
        <v>955</v>
      </c>
      <c r="J296" t="s">
        <v>956</v>
      </c>
      <c r="K296" t="s">
        <v>19</v>
      </c>
      <c r="L296" t="s">
        <v>20</v>
      </c>
      <c r="M296">
        <v>95</v>
      </c>
      <c r="N296" t="s">
        <v>21</v>
      </c>
      <c r="O296" t="s">
        <v>22</v>
      </c>
      <c r="P296" t="s">
        <v>23</v>
      </c>
    </row>
    <row r="297" spans="1:16" x14ac:dyDescent="0.3">
      <c r="A297" t="s">
        <v>957</v>
      </c>
      <c r="B297" t="s">
        <v>958</v>
      </c>
      <c r="C297" s="1">
        <v>45247</v>
      </c>
      <c r="D297" s="1">
        <v>45247</v>
      </c>
      <c r="E297">
        <v>21000</v>
      </c>
      <c r="F297">
        <v>21000</v>
      </c>
      <c r="G297">
        <v>0</v>
      </c>
      <c r="H297">
        <v>0</v>
      </c>
      <c r="I297" t="s">
        <v>959</v>
      </c>
      <c r="J297" t="s">
        <v>960</v>
      </c>
      <c r="K297" t="s">
        <v>19</v>
      </c>
      <c r="L297" t="s">
        <v>20</v>
      </c>
      <c r="M297">
        <v>95</v>
      </c>
      <c r="N297" t="s">
        <v>21</v>
      </c>
      <c r="O297" t="s">
        <v>22</v>
      </c>
      <c r="P297" t="s">
        <v>23</v>
      </c>
    </row>
    <row r="298" spans="1:16" x14ac:dyDescent="0.3">
      <c r="A298" t="s">
        <v>961</v>
      </c>
      <c r="B298" t="s">
        <v>962</v>
      </c>
      <c r="C298" s="1">
        <v>45247</v>
      </c>
      <c r="D298" s="1">
        <v>45247</v>
      </c>
      <c r="E298">
        <v>5200</v>
      </c>
      <c r="F298">
        <v>5200</v>
      </c>
      <c r="G298">
        <v>0</v>
      </c>
      <c r="H298">
        <v>0</v>
      </c>
      <c r="I298" t="s">
        <v>963</v>
      </c>
      <c r="J298" t="s">
        <v>964</v>
      </c>
      <c r="K298" t="s">
        <v>19</v>
      </c>
      <c r="L298" t="s">
        <v>20</v>
      </c>
      <c r="M298">
        <v>95</v>
      </c>
      <c r="N298" t="s">
        <v>21</v>
      </c>
      <c r="O298" t="s">
        <v>22</v>
      </c>
      <c r="P298" t="s">
        <v>23</v>
      </c>
    </row>
    <row r="299" spans="1:16" x14ac:dyDescent="0.3">
      <c r="A299" t="s">
        <v>965</v>
      </c>
      <c r="B299" t="s">
        <v>966</v>
      </c>
      <c r="C299" s="1">
        <v>45248</v>
      </c>
      <c r="D299" s="1">
        <v>45248</v>
      </c>
      <c r="E299">
        <v>130</v>
      </c>
      <c r="F299">
        <v>130</v>
      </c>
      <c r="G299">
        <v>0</v>
      </c>
      <c r="H299">
        <v>0</v>
      </c>
      <c r="I299" t="s">
        <v>758</v>
      </c>
      <c r="J299" t="s">
        <v>759</v>
      </c>
      <c r="K299" t="s">
        <v>19</v>
      </c>
      <c r="L299" t="s">
        <v>20</v>
      </c>
      <c r="M299">
        <v>95</v>
      </c>
      <c r="N299" t="s">
        <v>21</v>
      </c>
      <c r="O299" t="s">
        <v>22</v>
      </c>
      <c r="P299" t="s">
        <v>23</v>
      </c>
    </row>
    <row r="300" spans="1:16" x14ac:dyDescent="0.3">
      <c r="A300" t="s">
        <v>967</v>
      </c>
      <c r="B300" t="s">
        <v>968</v>
      </c>
      <c r="C300" s="1">
        <v>45248</v>
      </c>
      <c r="D300" s="1">
        <v>45248</v>
      </c>
      <c r="E300">
        <v>300</v>
      </c>
      <c r="F300">
        <v>300</v>
      </c>
      <c r="G300">
        <v>0</v>
      </c>
      <c r="H300">
        <v>0</v>
      </c>
      <c r="I300" t="s">
        <v>969</v>
      </c>
      <c r="J300" t="s">
        <v>970</v>
      </c>
      <c r="K300" t="s">
        <v>19</v>
      </c>
      <c r="L300" t="s">
        <v>20</v>
      </c>
      <c r="M300">
        <v>95</v>
      </c>
      <c r="N300" t="s">
        <v>21</v>
      </c>
      <c r="O300" t="s">
        <v>22</v>
      </c>
      <c r="P300" t="s">
        <v>23</v>
      </c>
    </row>
    <row r="301" spans="1:16" x14ac:dyDescent="0.3">
      <c r="A301" t="s">
        <v>971</v>
      </c>
      <c r="B301" t="s">
        <v>972</v>
      </c>
      <c r="C301" s="1">
        <v>45249</v>
      </c>
      <c r="D301" s="1">
        <v>45249</v>
      </c>
      <c r="E301">
        <v>600</v>
      </c>
      <c r="F301">
        <v>600</v>
      </c>
      <c r="G301">
        <v>0</v>
      </c>
      <c r="H301">
        <v>0</v>
      </c>
      <c r="I301" t="s">
        <v>108</v>
      </c>
      <c r="J301" t="s">
        <v>109</v>
      </c>
      <c r="K301" t="s">
        <v>19</v>
      </c>
      <c r="L301" t="s">
        <v>110</v>
      </c>
      <c r="M301">
        <v>100</v>
      </c>
      <c r="N301" t="s">
        <v>21</v>
      </c>
      <c r="O301" t="s">
        <v>22</v>
      </c>
      <c r="P301" t="s">
        <v>23</v>
      </c>
    </row>
    <row r="302" spans="1:16" x14ac:dyDescent="0.3">
      <c r="A302" t="s">
        <v>973</v>
      </c>
      <c r="B302" t="s">
        <v>974</v>
      </c>
      <c r="C302" s="1">
        <v>45249</v>
      </c>
      <c r="D302" s="1">
        <v>45249</v>
      </c>
      <c r="E302">
        <v>1</v>
      </c>
      <c r="F302">
        <v>1</v>
      </c>
      <c r="G302">
        <v>0</v>
      </c>
      <c r="H302">
        <v>0</v>
      </c>
      <c r="I302" t="s">
        <v>895</v>
      </c>
      <c r="J302" t="s">
        <v>896</v>
      </c>
      <c r="K302" t="s">
        <v>19</v>
      </c>
      <c r="L302" t="s">
        <v>20</v>
      </c>
      <c r="M302">
        <v>95</v>
      </c>
      <c r="N302" t="s">
        <v>21</v>
      </c>
      <c r="O302" t="s">
        <v>22</v>
      </c>
      <c r="P302" t="s">
        <v>23</v>
      </c>
    </row>
    <row r="303" spans="1:16" x14ac:dyDescent="0.3">
      <c r="A303" t="s">
        <v>975</v>
      </c>
      <c r="B303" t="s">
        <v>976</v>
      </c>
      <c r="C303" s="1">
        <v>45249</v>
      </c>
      <c r="D303" s="1">
        <v>45249</v>
      </c>
      <c r="E303">
        <v>499</v>
      </c>
      <c r="F303">
        <v>499</v>
      </c>
      <c r="G303">
        <v>0</v>
      </c>
      <c r="H303">
        <v>0</v>
      </c>
      <c r="I303" t="s">
        <v>179</v>
      </c>
      <c r="J303" t="s">
        <v>180</v>
      </c>
      <c r="K303" t="s">
        <v>19</v>
      </c>
      <c r="L303" t="s">
        <v>20</v>
      </c>
      <c r="M303">
        <v>95</v>
      </c>
      <c r="N303" t="s">
        <v>21</v>
      </c>
      <c r="O303" t="s">
        <v>22</v>
      </c>
      <c r="P303" t="s">
        <v>23</v>
      </c>
    </row>
    <row r="304" spans="1:16" x14ac:dyDescent="0.3">
      <c r="A304" t="s">
        <v>977</v>
      </c>
      <c r="B304" t="s">
        <v>978</v>
      </c>
      <c r="C304" s="1">
        <v>45249</v>
      </c>
      <c r="D304" s="1">
        <v>45249</v>
      </c>
      <c r="E304">
        <v>20</v>
      </c>
      <c r="F304">
        <v>20</v>
      </c>
      <c r="G304">
        <v>0</v>
      </c>
      <c r="H304">
        <v>0</v>
      </c>
      <c r="I304" t="s">
        <v>979</v>
      </c>
      <c r="J304" t="s">
        <v>980</v>
      </c>
      <c r="K304" t="s">
        <v>19</v>
      </c>
      <c r="L304" t="s">
        <v>20</v>
      </c>
      <c r="M304">
        <v>95</v>
      </c>
      <c r="N304" t="s">
        <v>21</v>
      </c>
      <c r="O304" t="s">
        <v>22</v>
      </c>
      <c r="P304" t="s">
        <v>23</v>
      </c>
    </row>
    <row r="305" spans="1:16" x14ac:dyDescent="0.3">
      <c r="A305" t="s">
        <v>981</v>
      </c>
      <c r="B305" t="s">
        <v>982</v>
      </c>
      <c r="C305" s="1">
        <v>45250</v>
      </c>
      <c r="D305" s="1">
        <v>45250</v>
      </c>
      <c r="E305">
        <v>1700</v>
      </c>
      <c r="F305">
        <v>1700</v>
      </c>
      <c r="G305">
        <v>0</v>
      </c>
      <c r="H305">
        <v>0</v>
      </c>
      <c r="I305" t="s">
        <v>108</v>
      </c>
      <c r="J305" t="s">
        <v>109</v>
      </c>
      <c r="K305" t="s">
        <v>19</v>
      </c>
      <c r="L305" t="s">
        <v>110</v>
      </c>
      <c r="M305">
        <v>100</v>
      </c>
      <c r="N305" t="s">
        <v>21</v>
      </c>
      <c r="O305" t="s">
        <v>22</v>
      </c>
      <c r="P305" t="s">
        <v>23</v>
      </c>
    </row>
    <row r="306" spans="1:16" x14ac:dyDescent="0.3">
      <c r="A306" t="s">
        <v>983</v>
      </c>
      <c r="B306" t="s">
        <v>984</v>
      </c>
      <c r="C306" s="1">
        <v>45250</v>
      </c>
      <c r="D306" s="1">
        <v>45250</v>
      </c>
      <c r="E306">
        <v>200</v>
      </c>
      <c r="F306">
        <v>200</v>
      </c>
      <c r="G306">
        <v>0</v>
      </c>
      <c r="H306">
        <v>0</v>
      </c>
      <c r="I306" t="s">
        <v>985</v>
      </c>
      <c r="J306" t="s">
        <v>986</v>
      </c>
      <c r="K306" t="s">
        <v>19</v>
      </c>
      <c r="L306" t="s">
        <v>20</v>
      </c>
      <c r="M306">
        <v>95</v>
      </c>
      <c r="N306" t="s">
        <v>21</v>
      </c>
      <c r="O306" t="s">
        <v>22</v>
      </c>
      <c r="P306" t="s">
        <v>23</v>
      </c>
    </row>
    <row r="307" spans="1:16" x14ac:dyDescent="0.3">
      <c r="A307" t="s">
        <v>987</v>
      </c>
      <c r="B307" t="s">
        <v>988</v>
      </c>
      <c r="C307" s="1">
        <v>45250</v>
      </c>
      <c r="D307" s="1">
        <v>45250</v>
      </c>
      <c r="E307">
        <v>45</v>
      </c>
      <c r="F307">
        <v>45</v>
      </c>
      <c r="G307">
        <v>0</v>
      </c>
      <c r="H307">
        <v>0</v>
      </c>
      <c r="I307" t="s">
        <v>358</v>
      </c>
      <c r="J307" t="s">
        <v>359</v>
      </c>
      <c r="K307" t="s">
        <v>19</v>
      </c>
      <c r="L307" t="s">
        <v>20</v>
      </c>
      <c r="M307">
        <v>95</v>
      </c>
      <c r="N307" t="s">
        <v>21</v>
      </c>
      <c r="O307" t="s">
        <v>22</v>
      </c>
      <c r="P307" t="s">
        <v>23</v>
      </c>
    </row>
    <row r="308" spans="1:16" x14ac:dyDescent="0.3">
      <c r="A308" t="s">
        <v>989</v>
      </c>
      <c r="B308" t="s">
        <v>990</v>
      </c>
      <c r="C308" s="1">
        <v>45251</v>
      </c>
      <c r="D308" s="1">
        <v>45251</v>
      </c>
      <c r="E308">
        <v>2200</v>
      </c>
      <c r="F308">
        <v>2200</v>
      </c>
      <c r="G308">
        <v>0</v>
      </c>
      <c r="H308">
        <v>0</v>
      </c>
      <c r="I308" t="s">
        <v>108</v>
      </c>
      <c r="J308" t="s">
        <v>109</v>
      </c>
      <c r="K308" t="s">
        <v>19</v>
      </c>
      <c r="L308" t="s">
        <v>110</v>
      </c>
      <c r="M308">
        <v>100</v>
      </c>
      <c r="N308" t="s">
        <v>21</v>
      </c>
      <c r="O308" t="s">
        <v>22</v>
      </c>
      <c r="P308" t="s">
        <v>23</v>
      </c>
    </row>
    <row r="309" spans="1:16" x14ac:dyDescent="0.3">
      <c r="A309" t="s">
        <v>991</v>
      </c>
      <c r="B309" t="s">
        <v>992</v>
      </c>
      <c r="C309" s="1">
        <v>45252</v>
      </c>
      <c r="D309" s="1">
        <v>45252</v>
      </c>
      <c r="E309">
        <v>1250</v>
      </c>
      <c r="F309">
        <v>1250</v>
      </c>
      <c r="G309">
        <v>0</v>
      </c>
      <c r="H309">
        <v>0</v>
      </c>
      <c r="I309" t="s">
        <v>108</v>
      </c>
      <c r="J309" t="s">
        <v>109</v>
      </c>
      <c r="K309" t="s">
        <v>19</v>
      </c>
      <c r="L309" t="s">
        <v>110</v>
      </c>
      <c r="M309">
        <v>100</v>
      </c>
      <c r="N309" t="s">
        <v>21</v>
      </c>
      <c r="O309" t="s">
        <v>22</v>
      </c>
      <c r="P309" t="s">
        <v>23</v>
      </c>
    </row>
    <row r="310" spans="1:16" x14ac:dyDescent="0.3">
      <c r="A310" t="s">
        <v>993</v>
      </c>
      <c r="B310" t="s">
        <v>994</v>
      </c>
      <c r="C310" s="1">
        <v>45252</v>
      </c>
      <c r="D310" s="1">
        <v>45252</v>
      </c>
      <c r="E310">
        <v>200</v>
      </c>
      <c r="F310">
        <v>200</v>
      </c>
      <c r="G310">
        <v>0</v>
      </c>
      <c r="H310">
        <v>0</v>
      </c>
      <c r="I310" t="s">
        <v>995</v>
      </c>
      <c r="J310" t="s">
        <v>996</v>
      </c>
      <c r="K310" t="s">
        <v>19</v>
      </c>
      <c r="L310" t="s">
        <v>20</v>
      </c>
      <c r="M310">
        <v>95</v>
      </c>
      <c r="N310" t="s">
        <v>21</v>
      </c>
      <c r="O310" t="s">
        <v>22</v>
      </c>
      <c r="P310" t="s">
        <v>23</v>
      </c>
    </row>
    <row r="311" spans="1:16" x14ac:dyDescent="0.3">
      <c r="A311" t="s">
        <v>997</v>
      </c>
      <c r="B311" t="s">
        <v>998</v>
      </c>
      <c r="C311" s="1">
        <v>45252</v>
      </c>
      <c r="D311" s="1">
        <v>45252</v>
      </c>
      <c r="E311">
        <v>290</v>
      </c>
      <c r="F311">
        <v>290</v>
      </c>
      <c r="G311">
        <v>0</v>
      </c>
      <c r="H311">
        <v>0</v>
      </c>
      <c r="I311" t="s">
        <v>999</v>
      </c>
      <c r="J311" t="s">
        <v>1000</v>
      </c>
      <c r="K311" t="s">
        <v>19</v>
      </c>
      <c r="L311" t="s">
        <v>20</v>
      </c>
      <c r="M311">
        <v>95</v>
      </c>
      <c r="N311" t="s">
        <v>21</v>
      </c>
      <c r="O311" t="s">
        <v>22</v>
      </c>
      <c r="P311" t="s">
        <v>23</v>
      </c>
    </row>
    <row r="312" spans="1:16" x14ac:dyDescent="0.3">
      <c r="A312" t="s">
        <v>1001</v>
      </c>
      <c r="B312" t="s">
        <v>1002</v>
      </c>
      <c r="C312" s="1">
        <v>45253</v>
      </c>
      <c r="D312" s="1">
        <v>45253</v>
      </c>
      <c r="E312">
        <v>350</v>
      </c>
      <c r="F312">
        <v>350</v>
      </c>
      <c r="G312">
        <v>0</v>
      </c>
      <c r="H312">
        <v>0</v>
      </c>
      <c r="I312" t="s">
        <v>108</v>
      </c>
      <c r="J312" t="s">
        <v>109</v>
      </c>
      <c r="K312" t="s">
        <v>19</v>
      </c>
      <c r="L312" t="s">
        <v>110</v>
      </c>
      <c r="M312">
        <v>100</v>
      </c>
      <c r="N312" t="s">
        <v>21</v>
      </c>
      <c r="O312" t="s">
        <v>22</v>
      </c>
      <c r="P312" t="s">
        <v>23</v>
      </c>
    </row>
    <row r="313" spans="1:16" x14ac:dyDescent="0.3">
      <c r="A313" t="s">
        <v>1003</v>
      </c>
      <c r="B313" t="s">
        <v>1004</v>
      </c>
      <c r="C313" s="1">
        <v>45253</v>
      </c>
      <c r="D313" s="1">
        <v>45253</v>
      </c>
      <c r="E313">
        <v>100</v>
      </c>
      <c r="F313">
        <v>100</v>
      </c>
      <c r="G313">
        <v>0</v>
      </c>
      <c r="H313">
        <v>0</v>
      </c>
      <c r="I313" t="s">
        <v>1005</v>
      </c>
      <c r="J313" t="s">
        <v>1006</v>
      </c>
      <c r="K313" t="s">
        <v>91</v>
      </c>
      <c r="L313" t="s">
        <v>92</v>
      </c>
      <c r="M313">
        <v>85</v>
      </c>
      <c r="N313" t="s">
        <v>93</v>
      </c>
      <c r="O313" t="s">
        <v>22</v>
      </c>
      <c r="P313" t="s">
        <v>23</v>
      </c>
    </row>
    <row r="314" spans="1:16" x14ac:dyDescent="0.3">
      <c r="A314" t="s">
        <v>1007</v>
      </c>
      <c r="B314" t="s">
        <v>1008</v>
      </c>
      <c r="C314" s="1">
        <v>45253</v>
      </c>
      <c r="D314" s="1">
        <v>45253</v>
      </c>
      <c r="E314">
        <v>100</v>
      </c>
      <c r="F314">
        <v>100</v>
      </c>
      <c r="G314">
        <v>0</v>
      </c>
      <c r="H314">
        <v>0</v>
      </c>
      <c r="I314" t="s">
        <v>1009</v>
      </c>
      <c r="J314" t="s">
        <v>1010</v>
      </c>
      <c r="K314" t="s">
        <v>19</v>
      </c>
      <c r="L314" t="s">
        <v>20</v>
      </c>
      <c r="M314">
        <v>95</v>
      </c>
      <c r="N314" t="s">
        <v>21</v>
      </c>
      <c r="O314" t="s">
        <v>22</v>
      </c>
      <c r="P314" t="s">
        <v>23</v>
      </c>
    </row>
    <row r="315" spans="1:16" x14ac:dyDescent="0.3">
      <c r="A315" t="s">
        <v>1011</v>
      </c>
      <c r="B315" t="s">
        <v>1012</v>
      </c>
      <c r="C315" s="1">
        <v>45254</v>
      </c>
      <c r="D315" s="1">
        <v>45254</v>
      </c>
      <c r="E315">
        <v>1600</v>
      </c>
      <c r="F315">
        <v>1600</v>
      </c>
      <c r="G315">
        <v>0</v>
      </c>
      <c r="H315">
        <v>0</v>
      </c>
      <c r="I315" t="s">
        <v>108</v>
      </c>
      <c r="J315" t="s">
        <v>109</v>
      </c>
      <c r="K315" t="s">
        <v>19</v>
      </c>
      <c r="L315" t="s">
        <v>110</v>
      </c>
      <c r="M315">
        <v>100</v>
      </c>
      <c r="N315" t="s">
        <v>21</v>
      </c>
      <c r="O315" t="s">
        <v>22</v>
      </c>
      <c r="P315" t="s">
        <v>23</v>
      </c>
    </row>
    <row r="316" spans="1:16" x14ac:dyDescent="0.3">
      <c r="A316" t="s">
        <v>1013</v>
      </c>
      <c r="B316" t="s">
        <v>1014</v>
      </c>
      <c r="C316" s="1">
        <v>45254</v>
      </c>
      <c r="D316" s="1">
        <v>45254</v>
      </c>
      <c r="E316">
        <v>10</v>
      </c>
      <c r="F316">
        <v>10</v>
      </c>
      <c r="G316">
        <v>0</v>
      </c>
      <c r="H316">
        <v>0</v>
      </c>
      <c r="I316" t="s">
        <v>1015</v>
      </c>
      <c r="J316" t="s">
        <v>1016</v>
      </c>
      <c r="K316" t="s">
        <v>19</v>
      </c>
      <c r="L316" t="s">
        <v>20</v>
      </c>
      <c r="M316">
        <v>95</v>
      </c>
      <c r="N316" t="s">
        <v>21</v>
      </c>
      <c r="O316" t="s">
        <v>22</v>
      </c>
      <c r="P316" t="s">
        <v>23</v>
      </c>
    </row>
    <row r="317" spans="1:16" x14ac:dyDescent="0.3">
      <c r="A317" t="s">
        <v>1017</v>
      </c>
      <c r="B317" t="s">
        <v>1018</v>
      </c>
      <c r="C317" s="1">
        <v>45254</v>
      </c>
      <c r="D317" s="1">
        <v>45254</v>
      </c>
      <c r="E317">
        <v>201</v>
      </c>
      <c r="F317">
        <v>201</v>
      </c>
      <c r="G317">
        <v>0</v>
      </c>
      <c r="H317">
        <v>0</v>
      </c>
      <c r="I317" t="s">
        <v>167</v>
      </c>
      <c r="J317" t="s">
        <v>168</v>
      </c>
      <c r="K317" t="s">
        <v>19</v>
      </c>
      <c r="L317" t="s">
        <v>20</v>
      </c>
      <c r="M317">
        <v>95</v>
      </c>
      <c r="N317" t="s">
        <v>21</v>
      </c>
      <c r="O317" t="s">
        <v>22</v>
      </c>
      <c r="P317" t="s">
        <v>23</v>
      </c>
    </row>
    <row r="318" spans="1:16" x14ac:dyDescent="0.3">
      <c r="A318" t="s">
        <v>1019</v>
      </c>
      <c r="B318" t="s">
        <v>1020</v>
      </c>
      <c r="C318" s="1">
        <v>45254</v>
      </c>
      <c r="D318" s="1">
        <v>45254</v>
      </c>
      <c r="E318">
        <v>60</v>
      </c>
      <c r="F318">
        <v>60</v>
      </c>
      <c r="G318">
        <v>0</v>
      </c>
      <c r="H318">
        <v>0</v>
      </c>
      <c r="I318" t="s">
        <v>1021</v>
      </c>
      <c r="J318" t="s">
        <v>1022</v>
      </c>
      <c r="K318" t="s">
        <v>19</v>
      </c>
      <c r="L318" t="s">
        <v>20</v>
      </c>
      <c r="M318">
        <v>95</v>
      </c>
      <c r="N318" t="s">
        <v>21</v>
      </c>
      <c r="O318" t="s">
        <v>22</v>
      </c>
      <c r="P318" t="s">
        <v>23</v>
      </c>
    </row>
    <row r="319" spans="1:16" x14ac:dyDescent="0.3">
      <c r="A319" t="s">
        <v>1023</v>
      </c>
      <c r="B319" t="s">
        <v>1024</v>
      </c>
      <c r="C319" s="1">
        <v>45255</v>
      </c>
      <c r="D319" s="1">
        <v>45255</v>
      </c>
      <c r="E319">
        <v>2200</v>
      </c>
      <c r="F319">
        <v>2200</v>
      </c>
      <c r="G319">
        <v>0</v>
      </c>
      <c r="H319">
        <v>0</v>
      </c>
      <c r="I319" t="s">
        <v>108</v>
      </c>
      <c r="J319" t="s">
        <v>109</v>
      </c>
      <c r="K319" t="s">
        <v>19</v>
      </c>
      <c r="L319" t="s">
        <v>110</v>
      </c>
      <c r="M319">
        <v>100</v>
      </c>
      <c r="N319" t="s">
        <v>21</v>
      </c>
      <c r="O319" t="s">
        <v>22</v>
      </c>
      <c r="P319" t="s">
        <v>23</v>
      </c>
    </row>
    <row r="320" spans="1:16" x14ac:dyDescent="0.3">
      <c r="A320" t="s">
        <v>1025</v>
      </c>
      <c r="B320" t="s">
        <v>1026</v>
      </c>
      <c r="C320" s="1">
        <v>45255</v>
      </c>
      <c r="D320" s="1">
        <v>45255</v>
      </c>
      <c r="E320">
        <v>241</v>
      </c>
      <c r="F320">
        <v>241</v>
      </c>
      <c r="G320">
        <v>0</v>
      </c>
      <c r="H320">
        <v>0</v>
      </c>
      <c r="I320" t="s">
        <v>1027</v>
      </c>
      <c r="J320" t="s">
        <v>1028</v>
      </c>
      <c r="K320" t="s">
        <v>19</v>
      </c>
      <c r="L320" t="s">
        <v>20</v>
      </c>
      <c r="M320">
        <v>95</v>
      </c>
      <c r="N320" t="s">
        <v>21</v>
      </c>
      <c r="O320" t="s">
        <v>22</v>
      </c>
      <c r="P320" t="s">
        <v>23</v>
      </c>
    </row>
    <row r="321" spans="1:16" x14ac:dyDescent="0.3">
      <c r="A321" t="s">
        <v>1029</v>
      </c>
      <c r="B321" t="s">
        <v>1030</v>
      </c>
      <c r="C321" s="1">
        <v>45255</v>
      </c>
      <c r="D321" s="1">
        <v>45257</v>
      </c>
      <c r="E321">
        <v>200</v>
      </c>
      <c r="F321">
        <v>200</v>
      </c>
      <c r="G321">
        <v>0</v>
      </c>
      <c r="H321">
        <v>2</v>
      </c>
      <c r="I321" t="s">
        <v>1031</v>
      </c>
      <c r="J321" t="s">
        <v>1032</v>
      </c>
      <c r="K321" t="s">
        <v>235</v>
      </c>
      <c r="L321" t="s">
        <v>236</v>
      </c>
      <c r="M321">
        <v>75</v>
      </c>
      <c r="N321" t="s">
        <v>93</v>
      </c>
      <c r="O321" t="s">
        <v>22</v>
      </c>
      <c r="P321" t="s">
        <v>23</v>
      </c>
    </row>
    <row r="322" spans="1:16" x14ac:dyDescent="0.3">
      <c r="A322" t="s">
        <v>1033</v>
      </c>
      <c r="B322" t="s">
        <v>1034</v>
      </c>
      <c r="C322" s="1">
        <v>45256</v>
      </c>
      <c r="D322" s="1">
        <v>45256</v>
      </c>
      <c r="E322">
        <v>1070</v>
      </c>
      <c r="F322">
        <v>1070</v>
      </c>
      <c r="G322">
        <v>0</v>
      </c>
      <c r="H322">
        <v>0</v>
      </c>
      <c r="I322" t="s">
        <v>108</v>
      </c>
      <c r="J322" t="s">
        <v>109</v>
      </c>
      <c r="K322" t="s">
        <v>19</v>
      </c>
      <c r="L322" t="s">
        <v>110</v>
      </c>
      <c r="M322">
        <v>100</v>
      </c>
      <c r="N322" t="s">
        <v>21</v>
      </c>
      <c r="O322" t="s">
        <v>22</v>
      </c>
      <c r="P322" t="s">
        <v>23</v>
      </c>
    </row>
    <row r="323" spans="1:16" x14ac:dyDescent="0.3">
      <c r="A323" t="s">
        <v>1035</v>
      </c>
      <c r="B323" t="s">
        <v>1036</v>
      </c>
      <c r="C323" s="1">
        <v>45256</v>
      </c>
      <c r="D323" s="1">
        <v>45256</v>
      </c>
      <c r="E323">
        <v>1</v>
      </c>
      <c r="F323">
        <v>1</v>
      </c>
      <c r="G323">
        <v>0</v>
      </c>
      <c r="H323">
        <v>0</v>
      </c>
      <c r="I323" t="s">
        <v>1037</v>
      </c>
      <c r="J323" t="s">
        <v>1038</v>
      </c>
      <c r="K323" t="s">
        <v>19</v>
      </c>
      <c r="L323" t="s">
        <v>20</v>
      </c>
      <c r="M323">
        <v>95</v>
      </c>
      <c r="N323" t="s">
        <v>21</v>
      </c>
      <c r="O323" t="s">
        <v>22</v>
      </c>
      <c r="P323" t="s">
        <v>23</v>
      </c>
    </row>
    <row r="324" spans="1:16" x14ac:dyDescent="0.3">
      <c r="A324" t="s">
        <v>1039</v>
      </c>
      <c r="B324" t="s">
        <v>1040</v>
      </c>
      <c r="C324" s="1">
        <v>45256</v>
      </c>
      <c r="D324" s="1">
        <v>45256</v>
      </c>
      <c r="E324">
        <v>5000</v>
      </c>
      <c r="F324">
        <v>5000</v>
      </c>
      <c r="G324">
        <v>0</v>
      </c>
      <c r="H324">
        <v>0</v>
      </c>
      <c r="I324" t="s">
        <v>1041</v>
      </c>
      <c r="J324" t="s">
        <v>1042</v>
      </c>
      <c r="K324" t="s">
        <v>19</v>
      </c>
      <c r="L324" t="s">
        <v>20</v>
      </c>
      <c r="M324">
        <v>95</v>
      </c>
      <c r="N324" t="s">
        <v>21</v>
      </c>
      <c r="O324" t="s">
        <v>22</v>
      </c>
      <c r="P324" t="s">
        <v>23</v>
      </c>
    </row>
    <row r="325" spans="1:16" x14ac:dyDescent="0.3">
      <c r="A325" t="s">
        <v>1043</v>
      </c>
      <c r="B325" t="s">
        <v>1044</v>
      </c>
      <c r="C325" s="1">
        <v>45257</v>
      </c>
      <c r="D325" s="1">
        <v>45257</v>
      </c>
      <c r="E325">
        <v>950</v>
      </c>
      <c r="F325">
        <v>950</v>
      </c>
      <c r="G325">
        <v>0</v>
      </c>
      <c r="H325">
        <v>0</v>
      </c>
      <c r="I325" t="s">
        <v>108</v>
      </c>
      <c r="J325" t="s">
        <v>109</v>
      </c>
      <c r="K325" t="s">
        <v>19</v>
      </c>
      <c r="L325" t="s">
        <v>110</v>
      </c>
      <c r="M325">
        <v>100</v>
      </c>
      <c r="N325" t="s">
        <v>21</v>
      </c>
      <c r="O325" t="s">
        <v>22</v>
      </c>
      <c r="P325" t="s">
        <v>23</v>
      </c>
    </row>
    <row r="326" spans="1:16" x14ac:dyDescent="0.3">
      <c r="A326" t="s">
        <v>1045</v>
      </c>
      <c r="B326" t="s">
        <v>1046</v>
      </c>
      <c r="C326" s="1">
        <v>45257</v>
      </c>
      <c r="D326" s="1">
        <v>45257</v>
      </c>
      <c r="E326">
        <v>120</v>
      </c>
      <c r="F326">
        <v>120</v>
      </c>
      <c r="G326">
        <v>0</v>
      </c>
      <c r="H326">
        <v>0</v>
      </c>
      <c r="I326" t="s">
        <v>1047</v>
      </c>
      <c r="J326" t="s">
        <v>1048</v>
      </c>
      <c r="K326" t="s">
        <v>19</v>
      </c>
      <c r="L326" t="s">
        <v>20</v>
      </c>
      <c r="M326">
        <v>95</v>
      </c>
      <c r="N326" t="s">
        <v>21</v>
      </c>
      <c r="O326" t="s">
        <v>22</v>
      </c>
      <c r="P326" t="s">
        <v>23</v>
      </c>
    </row>
    <row r="327" spans="1:16" x14ac:dyDescent="0.3">
      <c r="A327" t="s">
        <v>1049</v>
      </c>
      <c r="B327" t="s">
        <v>1050</v>
      </c>
      <c r="C327" s="1">
        <v>45257</v>
      </c>
      <c r="D327" s="1">
        <v>45257</v>
      </c>
      <c r="E327">
        <v>19</v>
      </c>
      <c r="F327">
        <v>19</v>
      </c>
      <c r="G327">
        <v>0</v>
      </c>
      <c r="H327">
        <v>0</v>
      </c>
      <c r="I327" t="s">
        <v>167</v>
      </c>
      <c r="J327" t="s">
        <v>168</v>
      </c>
      <c r="K327" t="s">
        <v>19</v>
      </c>
      <c r="L327" t="s">
        <v>20</v>
      </c>
      <c r="M327">
        <v>95</v>
      </c>
      <c r="N327" t="s">
        <v>21</v>
      </c>
      <c r="O327" t="s">
        <v>22</v>
      </c>
      <c r="P327" t="s">
        <v>23</v>
      </c>
    </row>
    <row r="328" spans="1:16" x14ac:dyDescent="0.3">
      <c r="A328" t="s">
        <v>1051</v>
      </c>
      <c r="B328" t="s">
        <v>1052</v>
      </c>
      <c r="C328" s="1">
        <v>45258</v>
      </c>
      <c r="D328" s="1">
        <v>45258</v>
      </c>
      <c r="E328">
        <v>800</v>
      </c>
      <c r="F328">
        <v>800</v>
      </c>
      <c r="G328">
        <v>0</v>
      </c>
      <c r="H328">
        <v>0</v>
      </c>
      <c r="I328" t="s">
        <v>108</v>
      </c>
      <c r="J328" t="s">
        <v>109</v>
      </c>
      <c r="K328" t="s">
        <v>19</v>
      </c>
      <c r="L328" t="s">
        <v>110</v>
      </c>
      <c r="M328">
        <v>100</v>
      </c>
      <c r="N328" t="s">
        <v>21</v>
      </c>
      <c r="O328" t="s">
        <v>22</v>
      </c>
      <c r="P328" t="s">
        <v>23</v>
      </c>
    </row>
    <row r="329" spans="1:16" x14ac:dyDescent="0.3">
      <c r="A329" t="s">
        <v>1053</v>
      </c>
      <c r="B329" t="s">
        <v>1054</v>
      </c>
      <c r="C329" s="1">
        <v>45258</v>
      </c>
      <c r="D329" s="1">
        <v>45258</v>
      </c>
      <c r="E329">
        <v>100</v>
      </c>
      <c r="F329">
        <v>100</v>
      </c>
      <c r="G329">
        <v>0</v>
      </c>
      <c r="H329">
        <v>0</v>
      </c>
      <c r="I329" t="s">
        <v>1055</v>
      </c>
      <c r="J329" t="s">
        <v>1056</v>
      </c>
      <c r="K329" t="s">
        <v>19</v>
      </c>
      <c r="L329" t="s">
        <v>20</v>
      </c>
      <c r="M329">
        <v>95</v>
      </c>
      <c r="N329" t="s">
        <v>21</v>
      </c>
      <c r="O329" t="s">
        <v>22</v>
      </c>
      <c r="P329" t="s">
        <v>23</v>
      </c>
    </row>
    <row r="330" spans="1:16" x14ac:dyDescent="0.3">
      <c r="A330" t="s">
        <v>1057</v>
      </c>
      <c r="B330" t="s">
        <v>1058</v>
      </c>
      <c r="C330" s="1">
        <v>45258</v>
      </c>
      <c r="D330" s="1">
        <v>45258</v>
      </c>
      <c r="E330">
        <v>150</v>
      </c>
      <c r="F330">
        <v>150</v>
      </c>
      <c r="G330">
        <v>0</v>
      </c>
      <c r="H330">
        <v>0</v>
      </c>
      <c r="I330" t="s">
        <v>1059</v>
      </c>
      <c r="J330" t="s">
        <v>1060</v>
      </c>
      <c r="K330" t="s">
        <v>19</v>
      </c>
      <c r="L330" t="s">
        <v>20</v>
      </c>
      <c r="M330">
        <v>95</v>
      </c>
      <c r="N330" t="s">
        <v>21</v>
      </c>
      <c r="O330" t="s">
        <v>22</v>
      </c>
      <c r="P330" t="s">
        <v>23</v>
      </c>
    </row>
    <row r="331" spans="1:16" x14ac:dyDescent="0.3">
      <c r="A331" t="s">
        <v>1061</v>
      </c>
      <c r="B331" t="s">
        <v>1062</v>
      </c>
      <c r="C331" s="1">
        <v>45258</v>
      </c>
      <c r="D331" s="1">
        <v>45258</v>
      </c>
      <c r="E331">
        <v>19</v>
      </c>
      <c r="F331">
        <v>19</v>
      </c>
      <c r="G331">
        <v>0</v>
      </c>
      <c r="H331">
        <v>0</v>
      </c>
      <c r="I331" t="s">
        <v>719</v>
      </c>
      <c r="J331" t="s">
        <v>720</v>
      </c>
      <c r="K331" t="s">
        <v>19</v>
      </c>
      <c r="L331" t="s">
        <v>20</v>
      </c>
      <c r="M331">
        <v>95</v>
      </c>
      <c r="N331" t="s">
        <v>21</v>
      </c>
      <c r="O331" t="s">
        <v>22</v>
      </c>
      <c r="P331" t="s">
        <v>23</v>
      </c>
    </row>
    <row r="332" spans="1:16" x14ac:dyDescent="0.3">
      <c r="A332" t="s">
        <v>1063</v>
      </c>
      <c r="B332" t="s">
        <v>1064</v>
      </c>
      <c r="C332" s="1">
        <v>45259</v>
      </c>
      <c r="D332" s="1">
        <v>45259</v>
      </c>
      <c r="E332">
        <v>151</v>
      </c>
      <c r="F332">
        <v>151</v>
      </c>
      <c r="G332">
        <v>0</v>
      </c>
      <c r="H332">
        <v>0</v>
      </c>
      <c r="I332" t="s">
        <v>108</v>
      </c>
      <c r="J332" t="s">
        <v>109</v>
      </c>
      <c r="K332" t="s">
        <v>19</v>
      </c>
      <c r="L332" t="s">
        <v>110</v>
      </c>
      <c r="M332">
        <v>100</v>
      </c>
      <c r="N332" t="s">
        <v>21</v>
      </c>
      <c r="O332" t="s">
        <v>22</v>
      </c>
      <c r="P332" t="s">
        <v>23</v>
      </c>
    </row>
    <row r="333" spans="1:16" x14ac:dyDescent="0.3">
      <c r="A333" t="s">
        <v>1065</v>
      </c>
      <c r="B333" t="s">
        <v>1066</v>
      </c>
      <c r="C333" s="1">
        <v>45259</v>
      </c>
      <c r="D333" s="1">
        <v>45259</v>
      </c>
      <c r="E333">
        <v>40</v>
      </c>
      <c r="F333">
        <v>40</v>
      </c>
      <c r="G333">
        <v>0</v>
      </c>
      <c r="H333">
        <v>0</v>
      </c>
      <c r="I333" t="s">
        <v>96</v>
      </c>
      <c r="J333" t="s">
        <v>97</v>
      </c>
      <c r="K333" t="s">
        <v>19</v>
      </c>
      <c r="L333" t="s">
        <v>20</v>
      </c>
      <c r="M333">
        <v>95</v>
      </c>
      <c r="N333" t="s">
        <v>21</v>
      </c>
      <c r="O333" t="s">
        <v>22</v>
      </c>
      <c r="P333" t="s">
        <v>23</v>
      </c>
    </row>
    <row r="334" spans="1:16" x14ac:dyDescent="0.3">
      <c r="A334" t="s">
        <v>1067</v>
      </c>
      <c r="B334" t="s">
        <v>1068</v>
      </c>
      <c r="C334" s="1">
        <v>45259</v>
      </c>
      <c r="D334" s="1">
        <v>45259</v>
      </c>
      <c r="E334">
        <v>19000</v>
      </c>
      <c r="F334">
        <v>19000</v>
      </c>
      <c r="G334">
        <v>0</v>
      </c>
      <c r="H334">
        <v>0</v>
      </c>
      <c r="I334" t="s">
        <v>1069</v>
      </c>
      <c r="J334" t="s">
        <v>1070</v>
      </c>
      <c r="K334" t="s">
        <v>19</v>
      </c>
      <c r="L334" t="s">
        <v>20</v>
      </c>
      <c r="M334">
        <v>95</v>
      </c>
      <c r="N334" t="s">
        <v>21</v>
      </c>
      <c r="O334" t="s">
        <v>22</v>
      </c>
      <c r="P334" t="s">
        <v>23</v>
      </c>
    </row>
    <row r="335" spans="1:16" x14ac:dyDescent="0.3">
      <c r="A335" t="s">
        <v>1071</v>
      </c>
      <c r="B335" t="s">
        <v>1072</v>
      </c>
      <c r="C335" s="1">
        <v>45259</v>
      </c>
      <c r="D335" s="1">
        <v>45259</v>
      </c>
      <c r="E335">
        <v>12700</v>
      </c>
      <c r="F335">
        <v>12700</v>
      </c>
      <c r="G335">
        <v>0</v>
      </c>
      <c r="H335">
        <v>0</v>
      </c>
      <c r="I335" t="s">
        <v>1073</v>
      </c>
      <c r="J335" t="s">
        <v>1074</v>
      </c>
      <c r="K335" t="s">
        <v>19</v>
      </c>
      <c r="L335" t="s">
        <v>20</v>
      </c>
      <c r="M335">
        <v>95</v>
      </c>
      <c r="N335" t="s">
        <v>21</v>
      </c>
      <c r="O335" t="s">
        <v>22</v>
      </c>
      <c r="P335" t="s">
        <v>23</v>
      </c>
    </row>
    <row r="336" spans="1:16" x14ac:dyDescent="0.3">
      <c r="A336" t="s">
        <v>1075</v>
      </c>
      <c r="B336" t="s">
        <v>1076</v>
      </c>
      <c r="C336" s="1">
        <v>45259</v>
      </c>
      <c r="D336" s="1">
        <v>45259</v>
      </c>
      <c r="E336">
        <v>100</v>
      </c>
      <c r="F336">
        <v>100</v>
      </c>
      <c r="G336">
        <v>0</v>
      </c>
      <c r="H336">
        <v>0</v>
      </c>
      <c r="I336" t="s">
        <v>1077</v>
      </c>
      <c r="J336" t="s">
        <v>1078</v>
      </c>
      <c r="K336" t="s">
        <v>19</v>
      </c>
      <c r="L336" t="s">
        <v>20</v>
      </c>
      <c r="M336">
        <v>95</v>
      </c>
      <c r="N336" t="s">
        <v>21</v>
      </c>
      <c r="O336" t="s">
        <v>22</v>
      </c>
      <c r="P336" t="s">
        <v>23</v>
      </c>
    </row>
    <row r="337" spans="1:16" x14ac:dyDescent="0.3">
      <c r="A337" t="s">
        <v>1079</v>
      </c>
      <c r="B337" t="s">
        <v>1080</v>
      </c>
      <c r="C337" s="1">
        <v>45259</v>
      </c>
      <c r="D337" s="1">
        <v>45259</v>
      </c>
      <c r="E337">
        <v>1</v>
      </c>
      <c r="F337">
        <v>1</v>
      </c>
      <c r="G337">
        <v>0</v>
      </c>
      <c r="H337">
        <v>0</v>
      </c>
      <c r="I337" t="s">
        <v>1081</v>
      </c>
      <c r="J337" t="s">
        <v>1082</v>
      </c>
      <c r="K337" t="s">
        <v>91</v>
      </c>
      <c r="L337" t="s">
        <v>92</v>
      </c>
      <c r="M337">
        <v>85</v>
      </c>
      <c r="N337" t="s">
        <v>93</v>
      </c>
      <c r="O337" t="s">
        <v>22</v>
      </c>
      <c r="P337" t="s">
        <v>23</v>
      </c>
    </row>
    <row r="338" spans="1:16" x14ac:dyDescent="0.3">
      <c r="A338" t="s">
        <v>1083</v>
      </c>
      <c r="B338" t="s">
        <v>1084</v>
      </c>
      <c r="C338" s="1">
        <v>45259</v>
      </c>
      <c r="D338" s="1">
        <v>45259</v>
      </c>
      <c r="E338">
        <v>1</v>
      </c>
      <c r="F338">
        <v>1</v>
      </c>
      <c r="G338">
        <v>0</v>
      </c>
      <c r="H338">
        <v>0</v>
      </c>
      <c r="I338" t="s">
        <v>1085</v>
      </c>
      <c r="J338" t="s">
        <v>1086</v>
      </c>
      <c r="K338" t="s">
        <v>19</v>
      </c>
      <c r="L338" t="s">
        <v>20</v>
      </c>
      <c r="M338">
        <v>95</v>
      </c>
      <c r="N338" t="s">
        <v>21</v>
      </c>
      <c r="O338" t="s">
        <v>22</v>
      </c>
      <c r="P338" t="s">
        <v>23</v>
      </c>
    </row>
    <row r="339" spans="1:16" x14ac:dyDescent="0.3">
      <c r="A339" t="s">
        <v>1087</v>
      </c>
      <c r="B339" t="s">
        <v>1088</v>
      </c>
      <c r="C339" s="1">
        <v>45259</v>
      </c>
      <c r="D339" s="1">
        <v>45259</v>
      </c>
      <c r="E339">
        <v>2000</v>
      </c>
      <c r="F339">
        <v>2000</v>
      </c>
      <c r="G339">
        <v>0</v>
      </c>
      <c r="H339">
        <v>0</v>
      </c>
      <c r="I339" t="s">
        <v>1085</v>
      </c>
      <c r="J339" t="s">
        <v>1086</v>
      </c>
      <c r="K339" t="s">
        <v>19</v>
      </c>
      <c r="L339" t="s">
        <v>20</v>
      </c>
      <c r="M339">
        <v>95</v>
      </c>
      <c r="N339" t="s">
        <v>21</v>
      </c>
      <c r="O339" t="s">
        <v>22</v>
      </c>
      <c r="P339" t="s">
        <v>23</v>
      </c>
    </row>
    <row r="340" spans="1:16" x14ac:dyDescent="0.3">
      <c r="A340" t="s">
        <v>1089</v>
      </c>
      <c r="B340" t="s">
        <v>1090</v>
      </c>
      <c r="C340" s="1">
        <v>45259</v>
      </c>
      <c r="D340" s="1">
        <v>45259</v>
      </c>
      <c r="E340">
        <v>90</v>
      </c>
      <c r="F340">
        <v>90</v>
      </c>
      <c r="G340">
        <v>0</v>
      </c>
      <c r="H340">
        <v>0</v>
      </c>
      <c r="I340" t="s">
        <v>1091</v>
      </c>
      <c r="J340" t="s">
        <v>1092</v>
      </c>
      <c r="K340" t="s">
        <v>19</v>
      </c>
      <c r="L340" t="s">
        <v>20</v>
      </c>
      <c r="M340">
        <v>95</v>
      </c>
      <c r="N340" t="s">
        <v>21</v>
      </c>
      <c r="O340" t="s">
        <v>22</v>
      </c>
      <c r="P340" t="s">
        <v>23</v>
      </c>
    </row>
    <row r="341" spans="1:16" x14ac:dyDescent="0.3">
      <c r="A341" t="s">
        <v>1093</v>
      </c>
      <c r="B341" t="s">
        <v>1094</v>
      </c>
      <c r="C341" s="1">
        <v>45261</v>
      </c>
      <c r="D341" s="1">
        <v>45307</v>
      </c>
      <c r="E341">
        <v>1500</v>
      </c>
      <c r="F341">
        <v>1500</v>
      </c>
      <c r="G341">
        <v>0</v>
      </c>
      <c r="H341">
        <v>46</v>
      </c>
      <c r="I341" t="s">
        <v>108</v>
      </c>
      <c r="J341" t="s">
        <v>109</v>
      </c>
      <c r="K341" t="s">
        <v>91</v>
      </c>
      <c r="L341" t="s">
        <v>1095</v>
      </c>
      <c r="M341">
        <v>60</v>
      </c>
      <c r="N341" t="s">
        <v>164</v>
      </c>
      <c r="O341" t="s">
        <v>22</v>
      </c>
      <c r="P341" t="s">
        <v>23</v>
      </c>
    </row>
    <row r="342" spans="1:16" x14ac:dyDescent="0.3">
      <c r="A342" t="s">
        <v>1096</v>
      </c>
      <c r="B342" t="s">
        <v>1097</v>
      </c>
      <c r="C342" s="1">
        <v>45261</v>
      </c>
      <c r="D342" s="1">
        <v>45261</v>
      </c>
      <c r="E342">
        <v>40</v>
      </c>
      <c r="F342">
        <v>40</v>
      </c>
      <c r="G342">
        <v>0</v>
      </c>
      <c r="H342">
        <v>0</v>
      </c>
      <c r="I342" t="s">
        <v>1098</v>
      </c>
      <c r="J342" t="s">
        <v>1099</v>
      </c>
      <c r="K342" t="s">
        <v>19</v>
      </c>
      <c r="L342" t="s">
        <v>20</v>
      </c>
      <c r="M342">
        <v>95</v>
      </c>
      <c r="N342" t="s">
        <v>21</v>
      </c>
      <c r="O342" t="s">
        <v>22</v>
      </c>
      <c r="P342" t="s">
        <v>23</v>
      </c>
    </row>
    <row r="343" spans="1:16" x14ac:dyDescent="0.3">
      <c r="A343" t="s">
        <v>1100</v>
      </c>
      <c r="B343" t="s">
        <v>1101</v>
      </c>
      <c r="C343" s="1">
        <v>45261</v>
      </c>
      <c r="D343" s="1">
        <v>45261</v>
      </c>
      <c r="E343">
        <v>199</v>
      </c>
      <c r="F343">
        <v>199</v>
      </c>
      <c r="G343">
        <v>0</v>
      </c>
      <c r="H343">
        <v>0</v>
      </c>
      <c r="I343" t="s">
        <v>772</v>
      </c>
      <c r="J343" t="s">
        <v>773</v>
      </c>
      <c r="K343" t="s">
        <v>19</v>
      </c>
      <c r="L343" t="s">
        <v>20</v>
      </c>
      <c r="M343">
        <v>95</v>
      </c>
      <c r="N343" t="s">
        <v>21</v>
      </c>
      <c r="O343" t="s">
        <v>22</v>
      </c>
      <c r="P343" t="s">
        <v>23</v>
      </c>
    </row>
    <row r="344" spans="1:16" x14ac:dyDescent="0.3">
      <c r="A344" t="s">
        <v>1102</v>
      </c>
      <c r="B344" t="s">
        <v>1103</v>
      </c>
      <c r="C344" s="1">
        <v>45261</v>
      </c>
      <c r="D344" s="1">
        <v>45261</v>
      </c>
      <c r="E344">
        <v>250</v>
      </c>
      <c r="F344">
        <v>250</v>
      </c>
      <c r="G344">
        <v>0</v>
      </c>
      <c r="H344">
        <v>0</v>
      </c>
      <c r="I344" t="s">
        <v>1104</v>
      </c>
      <c r="J344" t="s">
        <v>1105</v>
      </c>
      <c r="K344" t="s">
        <v>19</v>
      </c>
      <c r="L344" t="s">
        <v>20</v>
      </c>
      <c r="M344">
        <v>95</v>
      </c>
      <c r="N344" t="s">
        <v>21</v>
      </c>
      <c r="O344" t="s">
        <v>22</v>
      </c>
      <c r="P344" t="s">
        <v>23</v>
      </c>
    </row>
    <row r="345" spans="1:16" x14ac:dyDescent="0.3">
      <c r="A345" t="s">
        <v>1106</v>
      </c>
      <c r="B345" t="s">
        <v>1107</v>
      </c>
      <c r="C345" s="1">
        <v>45262</v>
      </c>
      <c r="D345" s="1">
        <v>45262</v>
      </c>
      <c r="E345">
        <v>600</v>
      </c>
      <c r="F345">
        <v>600</v>
      </c>
      <c r="G345">
        <v>0</v>
      </c>
      <c r="H345">
        <v>0</v>
      </c>
      <c r="I345" t="s">
        <v>108</v>
      </c>
      <c r="J345" t="s">
        <v>109</v>
      </c>
      <c r="K345" t="s">
        <v>19</v>
      </c>
      <c r="L345" t="s">
        <v>110</v>
      </c>
      <c r="M345">
        <v>100</v>
      </c>
      <c r="N345" t="s">
        <v>21</v>
      </c>
      <c r="O345" t="s">
        <v>22</v>
      </c>
      <c r="P345" t="s">
        <v>23</v>
      </c>
    </row>
    <row r="346" spans="1:16" x14ac:dyDescent="0.3">
      <c r="A346" t="s">
        <v>1108</v>
      </c>
      <c r="B346" t="s">
        <v>1109</v>
      </c>
      <c r="C346" s="1">
        <v>45262</v>
      </c>
      <c r="D346" s="1">
        <v>45262</v>
      </c>
      <c r="E346">
        <v>500</v>
      </c>
      <c r="F346">
        <v>500</v>
      </c>
      <c r="G346">
        <v>0</v>
      </c>
      <c r="H346">
        <v>0</v>
      </c>
      <c r="I346" t="s">
        <v>1110</v>
      </c>
      <c r="J346" t="s">
        <v>1111</v>
      </c>
      <c r="K346" t="s">
        <v>19</v>
      </c>
      <c r="L346" t="s">
        <v>20</v>
      </c>
      <c r="M346">
        <v>95</v>
      </c>
      <c r="N346" t="s">
        <v>21</v>
      </c>
      <c r="O346" t="s">
        <v>22</v>
      </c>
      <c r="P346" t="s">
        <v>23</v>
      </c>
    </row>
    <row r="347" spans="1:16" x14ac:dyDescent="0.3">
      <c r="A347" t="s">
        <v>1112</v>
      </c>
      <c r="B347" t="s">
        <v>1113</v>
      </c>
      <c r="C347" s="1">
        <v>45262</v>
      </c>
      <c r="D347" s="1">
        <v>45262</v>
      </c>
      <c r="E347">
        <v>40</v>
      </c>
      <c r="F347">
        <v>40</v>
      </c>
      <c r="G347">
        <v>0</v>
      </c>
      <c r="H347">
        <v>0</v>
      </c>
      <c r="I347" t="s">
        <v>1114</v>
      </c>
      <c r="J347" t="s">
        <v>1115</v>
      </c>
      <c r="K347" t="s">
        <v>19</v>
      </c>
      <c r="L347" t="s">
        <v>20</v>
      </c>
      <c r="M347">
        <v>95</v>
      </c>
      <c r="N347" t="s">
        <v>21</v>
      </c>
      <c r="O347" t="s">
        <v>22</v>
      </c>
      <c r="P347" t="s">
        <v>23</v>
      </c>
    </row>
    <row r="348" spans="1:16" x14ac:dyDescent="0.3">
      <c r="A348" t="s">
        <v>1116</v>
      </c>
      <c r="B348" t="s">
        <v>1117</v>
      </c>
      <c r="C348" s="1">
        <v>45263</v>
      </c>
      <c r="D348" s="1">
        <v>45263</v>
      </c>
      <c r="E348">
        <v>1450</v>
      </c>
      <c r="F348">
        <v>1450</v>
      </c>
      <c r="G348">
        <v>0</v>
      </c>
      <c r="H348">
        <v>0</v>
      </c>
      <c r="I348" t="s">
        <v>108</v>
      </c>
      <c r="J348" t="s">
        <v>109</v>
      </c>
      <c r="K348" t="s">
        <v>19</v>
      </c>
      <c r="L348" t="s">
        <v>110</v>
      </c>
      <c r="M348">
        <v>100</v>
      </c>
      <c r="N348" t="s">
        <v>21</v>
      </c>
      <c r="O348" t="s">
        <v>22</v>
      </c>
      <c r="P348" t="s">
        <v>23</v>
      </c>
    </row>
    <row r="349" spans="1:16" x14ac:dyDescent="0.3">
      <c r="A349" t="s">
        <v>1118</v>
      </c>
      <c r="B349" t="s">
        <v>161</v>
      </c>
      <c r="C349" s="1">
        <v>45263</v>
      </c>
      <c r="D349" s="1"/>
      <c r="E349">
        <v>1000</v>
      </c>
      <c r="I349" t="s">
        <v>1119</v>
      </c>
      <c r="J349" t="s">
        <v>161</v>
      </c>
      <c r="K349" t="s">
        <v>162</v>
      </c>
      <c r="L349" t="s">
        <v>163</v>
      </c>
      <c r="M349">
        <v>0</v>
      </c>
      <c r="N349" t="s">
        <v>164</v>
      </c>
      <c r="O349" t="s">
        <v>22</v>
      </c>
      <c r="P349" t="s">
        <v>23</v>
      </c>
    </row>
    <row r="350" spans="1:16" x14ac:dyDescent="0.3">
      <c r="A350" t="s">
        <v>1120</v>
      </c>
      <c r="B350" t="s">
        <v>1121</v>
      </c>
      <c r="C350" s="1">
        <v>45264</v>
      </c>
      <c r="D350" s="1">
        <v>45264</v>
      </c>
      <c r="E350">
        <v>900</v>
      </c>
      <c r="F350">
        <v>900</v>
      </c>
      <c r="G350">
        <v>0</v>
      </c>
      <c r="H350">
        <v>0</v>
      </c>
      <c r="I350" t="s">
        <v>108</v>
      </c>
      <c r="J350" t="s">
        <v>109</v>
      </c>
      <c r="K350" t="s">
        <v>19</v>
      </c>
      <c r="L350" t="s">
        <v>110</v>
      </c>
      <c r="M350">
        <v>100</v>
      </c>
      <c r="N350" t="s">
        <v>21</v>
      </c>
      <c r="O350" t="s">
        <v>22</v>
      </c>
      <c r="P350" t="s">
        <v>23</v>
      </c>
    </row>
    <row r="351" spans="1:16" x14ac:dyDescent="0.3">
      <c r="A351" t="s">
        <v>1122</v>
      </c>
      <c r="B351" t="s">
        <v>1123</v>
      </c>
      <c r="C351" s="1">
        <v>45264</v>
      </c>
      <c r="D351" s="1">
        <v>45264</v>
      </c>
      <c r="E351">
        <v>239</v>
      </c>
      <c r="F351">
        <v>239</v>
      </c>
      <c r="G351">
        <v>0</v>
      </c>
      <c r="H351">
        <v>0</v>
      </c>
      <c r="I351" t="s">
        <v>772</v>
      </c>
      <c r="J351" t="s">
        <v>773</v>
      </c>
      <c r="K351" t="s">
        <v>19</v>
      </c>
      <c r="L351" t="s">
        <v>20</v>
      </c>
      <c r="M351">
        <v>95</v>
      </c>
      <c r="N351" t="s">
        <v>21</v>
      </c>
      <c r="O351" t="s">
        <v>22</v>
      </c>
      <c r="P351" t="s">
        <v>23</v>
      </c>
    </row>
    <row r="352" spans="1:16" x14ac:dyDescent="0.3">
      <c r="A352" t="s">
        <v>1124</v>
      </c>
      <c r="B352" t="s">
        <v>1125</v>
      </c>
      <c r="C352" s="1">
        <v>45264</v>
      </c>
      <c r="D352" s="1">
        <v>45264</v>
      </c>
      <c r="E352">
        <v>1550</v>
      </c>
      <c r="F352">
        <v>1550</v>
      </c>
      <c r="G352">
        <v>0</v>
      </c>
      <c r="H352">
        <v>0</v>
      </c>
      <c r="I352" t="s">
        <v>1126</v>
      </c>
      <c r="J352" t="s">
        <v>1127</v>
      </c>
      <c r="K352" t="s">
        <v>19</v>
      </c>
      <c r="L352" t="s">
        <v>20</v>
      </c>
      <c r="M352">
        <v>95</v>
      </c>
      <c r="N352" t="s">
        <v>21</v>
      </c>
      <c r="O352" t="s">
        <v>22</v>
      </c>
      <c r="P352" t="s">
        <v>23</v>
      </c>
    </row>
    <row r="353" spans="1:16" x14ac:dyDescent="0.3">
      <c r="A353" t="s">
        <v>1128</v>
      </c>
      <c r="B353" t="s">
        <v>1129</v>
      </c>
      <c r="C353" s="1">
        <v>45265</v>
      </c>
      <c r="D353" s="1">
        <v>45265</v>
      </c>
      <c r="E353">
        <v>7560</v>
      </c>
      <c r="F353">
        <v>7560</v>
      </c>
      <c r="G353">
        <v>0</v>
      </c>
      <c r="H353">
        <v>0</v>
      </c>
      <c r="I353" t="s">
        <v>108</v>
      </c>
      <c r="J353" t="s">
        <v>109</v>
      </c>
      <c r="K353" t="s">
        <v>19</v>
      </c>
      <c r="L353" t="s">
        <v>110</v>
      </c>
      <c r="M353">
        <v>100</v>
      </c>
      <c r="N353" t="s">
        <v>21</v>
      </c>
      <c r="O353" t="s">
        <v>22</v>
      </c>
      <c r="P353" t="s">
        <v>23</v>
      </c>
    </row>
    <row r="354" spans="1:16" x14ac:dyDescent="0.3">
      <c r="A354" t="s">
        <v>1130</v>
      </c>
      <c r="B354" t="s">
        <v>1131</v>
      </c>
      <c r="C354" s="1">
        <v>45265</v>
      </c>
      <c r="D354" s="1">
        <v>45265</v>
      </c>
      <c r="E354">
        <v>60</v>
      </c>
      <c r="F354">
        <v>61.2</v>
      </c>
      <c r="G354">
        <v>1.2</v>
      </c>
      <c r="H354">
        <v>0</v>
      </c>
      <c r="I354" t="s">
        <v>96</v>
      </c>
      <c r="J354" t="s">
        <v>97</v>
      </c>
      <c r="K354" t="s">
        <v>278</v>
      </c>
      <c r="L354" t="s">
        <v>1132</v>
      </c>
      <c r="M354">
        <v>80</v>
      </c>
      <c r="N354" t="s">
        <v>93</v>
      </c>
      <c r="O354" t="s">
        <v>22</v>
      </c>
      <c r="P354" t="s">
        <v>23</v>
      </c>
    </row>
    <row r="355" spans="1:16" x14ac:dyDescent="0.3">
      <c r="A355" t="s">
        <v>1133</v>
      </c>
      <c r="B355" t="s">
        <v>1134</v>
      </c>
      <c r="C355" s="1">
        <v>45265</v>
      </c>
      <c r="D355" s="1">
        <v>45265</v>
      </c>
      <c r="E355">
        <v>13000</v>
      </c>
      <c r="F355">
        <v>13000</v>
      </c>
      <c r="G355">
        <v>0</v>
      </c>
      <c r="H355">
        <v>0</v>
      </c>
      <c r="I355" t="s">
        <v>81</v>
      </c>
      <c r="J355" t="s">
        <v>82</v>
      </c>
      <c r="K355" t="s">
        <v>19</v>
      </c>
      <c r="L355" t="s">
        <v>20</v>
      </c>
      <c r="M355">
        <v>95</v>
      </c>
      <c r="N355" t="s">
        <v>21</v>
      </c>
      <c r="O355" t="s">
        <v>22</v>
      </c>
      <c r="P355" t="s">
        <v>23</v>
      </c>
    </row>
    <row r="356" spans="1:16" x14ac:dyDescent="0.3">
      <c r="A356" t="s">
        <v>1135</v>
      </c>
      <c r="B356" t="s">
        <v>1136</v>
      </c>
      <c r="C356" s="1">
        <v>45265</v>
      </c>
      <c r="D356" s="1">
        <v>45265</v>
      </c>
      <c r="E356">
        <v>200</v>
      </c>
      <c r="F356">
        <v>200</v>
      </c>
      <c r="G356">
        <v>0</v>
      </c>
      <c r="H356">
        <v>0</v>
      </c>
      <c r="I356" t="s">
        <v>1137</v>
      </c>
      <c r="J356" t="s">
        <v>1138</v>
      </c>
      <c r="K356" t="s">
        <v>19</v>
      </c>
      <c r="L356" t="s">
        <v>20</v>
      </c>
      <c r="M356">
        <v>95</v>
      </c>
      <c r="N356" t="s">
        <v>21</v>
      </c>
      <c r="O356" t="s">
        <v>22</v>
      </c>
      <c r="P356" t="s">
        <v>23</v>
      </c>
    </row>
    <row r="357" spans="1:16" x14ac:dyDescent="0.3">
      <c r="A357" t="s">
        <v>1139</v>
      </c>
      <c r="B357" t="s">
        <v>1140</v>
      </c>
      <c r="C357" s="1">
        <v>45266</v>
      </c>
      <c r="D357" s="1">
        <v>45266</v>
      </c>
      <c r="E357">
        <v>138</v>
      </c>
      <c r="F357">
        <v>138</v>
      </c>
      <c r="G357">
        <v>0</v>
      </c>
      <c r="H357">
        <v>0</v>
      </c>
      <c r="I357" t="s">
        <v>1141</v>
      </c>
      <c r="J357" t="s">
        <v>1142</v>
      </c>
      <c r="K357" t="s">
        <v>19</v>
      </c>
      <c r="L357" t="s">
        <v>20</v>
      </c>
      <c r="M357">
        <v>95</v>
      </c>
      <c r="N357" t="s">
        <v>21</v>
      </c>
      <c r="O357" t="s">
        <v>22</v>
      </c>
      <c r="P357" t="s">
        <v>23</v>
      </c>
    </row>
    <row r="358" spans="1:16" x14ac:dyDescent="0.3">
      <c r="A358" t="s">
        <v>1143</v>
      </c>
      <c r="B358" t="s">
        <v>1144</v>
      </c>
      <c r="C358" s="1">
        <v>45267</v>
      </c>
      <c r="D358" s="1">
        <v>45267</v>
      </c>
      <c r="E358">
        <v>150</v>
      </c>
      <c r="F358">
        <v>150</v>
      </c>
      <c r="G358">
        <v>0</v>
      </c>
      <c r="H358">
        <v>0</v>
      </c>
      <c r="I358" t="s">
        <v>1145</v>
      </c>
      <c r="J358" t="s">
        <v>1146</v>
      </c>
      <c r="K358" t="s">
        <v>19</v>
      </c>
      <c r="L358" t="s">
        <v>20</v>
      </c>
      <c r="M358">
        <v>95</v>
      </c>
      <c r="N358" t="s">
        <v>21</v>
      </c>
      <c r="O358" t="s">
        <v>22</v>
      </c>
      <c r="P358" t="s">
        <v>23</v>
      </c>
    </row>
    <row r="359" spans="1:16" x14ac:dyDescent="0.3">
      <c r="A359" t="s">
        <v>1147</v>
      </c>
      <c r="B359" t="s">
        <v>1148</v>
      </c>
      <c r="C359" s="1">
        <v>45267</v>
      </c>
      <c r="D359" s="1">
        <v>45267</v>
      </c>
      <c r="E359">
        <v>18</v>
      </c>
      <c r="F359">
        <v>18</v>
      </c>
      <c r="G359">
        <v>0</v>
      </c>
      <c r="H359">
        <v>0</v>
      </c>
      <c r="I359" t="s">
        <v>1149</v>
      </c>
      <c r="J359" t="s">
        <v>1150</v>
      </c>
      <c r="K359" t="s">
        <v>19</v>
      </c>
      <c r="L359" t="s">
        <v>20</v>
      </c>
      <c r="M359">
        <v>95</v>
      </c>
      <c r="N359" t="s">
        <v>21</v>
      </c>
      <c r="O359" t="s">
        <v>22</v>
      </c>
      <c r="P359" t="s">
        <v>23</v>
      </c>
    </row>
    <row r="360" spans="1:16" x14ac:dyDescent="0.3">
      <c r="A360" t="s">
        <v>1151</v>
      </c>
      <c r="B360" t="s">
        <v>1152</v>
      </c>
      <c r="C360" s="1">
        <v>45267</v>
      </c>
      <c r="D360" s="1">
        <v>45268</v>
      </c>
      <c r="E360">
        <v>70</v>
      </c>
      <c r="F360">
        <v>70</v>
      </c>
      <c r="G360">
        <v>0</v>
      </c>
      <c r="H360">
        <v>1</v>
      </c>
      <c r="I360" t="s">
        <v>1153</v>
      </c>
      <c r="J360" t="s">
        <v>1154</v>
      </c>
      <c r="K360" t="s">
        <v>235</v>
      </c>
      <c r="L360" t="s">
        <v>265</v>
      </c>
      <c r="M360">
        <v>80</v>
      </c>
      <c r="N360" t="s">
        <v>93</v>
      </c>
      <c r="O360" t="s">
        <v>22</v>
      </c>
      <c r="P360" t="s">
        <v>23</v>
      </c>
    </row>
    <row r="361" spans="1:16" x14ac:dyDescent="0.3">
      <c r="A361" t="s">
        <v>1155</v>
      </c>
      <c r="B361" t="s">
        <v>1156</v>
      </c>
      <c r="C361" s="1">
        <v>45268</v>
      </c>
      <c r="D361" s="1">
        <v>45268</v>
      </c>
      <c r="E361">
        <v>1630</v>
      </c>
      <c r="F361">
        <v>1630</v>
      </c>
      <c r="G361">
        <v>0</v>
      </c>
      <c r="H361">
        <v>0</v>
      </c>
      <c r="I361" t="s">
        <v>108</v>
      </c>
      <c r="J361" t="s">
        <v>109</v>
      </c>
      <c r="K361" t="s">
        <v>19</v>
      </c>
      <c r="L361" t="s">
        <v>110</v>
      </c>
      <c r="M361">
        <v>100</v>
      </c>
      <c r="N361" t="s">
        <v>21</v>
      </c>
      <c r="O361" t="s">
        <v>22</v>
      </c>
      <c r="P361" t="s">
        <v>23</v>
      </c>
    </row>
    <row r="362" spans="1:16" x14ac:dyDescent="0.3">
      <c r="A362" t="s">
        <v>1157</v>
      </c>
      <c r="B362" t="s">
        <v>1158</v>
      </c>
      <c r="C362" s="1">
        <v>45268</v>
      </c>
      <c r="D362" s="1">
        <v>45268</v>
      </c>
      <c r="E362">
        <v>40</v>
      </c>
      <c r="F362">
        <v>40</v>
      </c>
      <c r="G362">
        <v>0</v>
      </c>
      <c r="H362">
        <v>0</v>
      </c>
      <c r="I362" t="s">
        <v>358</v>
      </c>
      <c r="J362" t="s">
        <v>359</v>
      </c>
      <c r="K362" t="s">
        <v>91</v>
      </c>
      <c r="L362" t="s">
        <v>92</v>
      </c>
      <c r="M362">
        <v>85</v>
      </c>
      <c r="N362" t="s">
        <v>93</v>
      </c>
      <c r="O362" t="s">
        <v>22</v>
      </c>
      <c r="P362" t="s">
        <v>23</v>
      </c>
    </row>
    <row r="363" spans="1:16" x14ac:dyDescent="0.3">
      <c r="A363" t="s">
        <v>1159</v>
      </c>
      <c r="B363" t="s">
        <v>1160</v>
      </c>
      <c r="C363" s="1">
        <v>45268</v>
      </c>
      <c r="D363" s="1">
        <v>45268</v>
      </c>
      <c r="E363">
        <v>35</v>
      </c>
      <c r="F363">
        <v>35</v>
      </c>
      <c r="G363">
        <v>0</v>
      </c>
      <c r="H363">
        <v>0</v>
      </c>
      <c r="I363" t="s">
        <v>875</v>
      </c>
      <c r="J363" t="s">
        <v>876</v>
      </c>
      <c r="K363" t="s">
        <v>19</v>
      </c>
      <c r="L363" t="s">
        <v>20</v>
      </c>
      <c r="M363">
        <v>95</v>
      </c>
      <c r="N363" t="s">
        <v>21</v>
      </c>
      <c r="O363" t="s">
        <v>22</v>
      </c>
      <c r="P363" t="s">
        <v>23</v>
      </c>
    </row>
    <row r="364" spans="1:16" x14ac:dyDescent="0.3">
      <c r="A364" t="s">
        <v>1161</v>
      </c>
      <c r="B364" t="s">
        <v>1162</v>
      </c>
      <c r="C364" s="1">
        <v>45269</v>
      </c>
      <c r="D364" s="1">
        <v>45269</v>
      </c>
      <c r="E364">
        <v>210</v>
      </c>
      <c r="F364">
        <v>210</v>
      </c>
      <c r="G364">
        <v>0</v>
      </c>
      <c r="H364">
        <v>0</v>
      </c>
      <c r="I364" t="s">
        <v>108</v>
      </c>
      <c r="J364" t="s">
        <v>109</v>
      </c>
      <c r="K364" t="s">
        <v>19</v>
      </c>
      <c r="L364" t="s">
        <v>110</v>
      </c>
      <c r="M364">
        <v>100</v>
      </c>
      <c r="N364" t="s">
        <v>21</v>
      </c>
      <c r="O364" t="s">
        <v>22</v>
      </c>
      <c r="P364" t="s">
        <v>23</v>
      </c>
    </row>
    <row r="365" spans="1:16" x14ac:dyDescent="0.3">
      <c r="A365" t="s">
        <v>1163</v>
      </c>
      <c r="B365" t="s">
        <v>1164</v>
      </c>
      <c r="C365" s="1">
        <v>45269</v>
      </c>
      <c r="D365" s="1">
        <v>45269</v>
      </c>
      <c r="E365">
        <v>120</v>
      </c>
      <c r="F365">
        <v>120</v>
      </c>
      <c r="G365">
        <v>0</v>
      </c>
      <c r="H365">
        <v>0</v>
      </c>
      <c r="I365" t="s">
        <v>1165</v>
      </c>
      <c r="J365" t="s">
        <v>1166</v>
      </c>
      <c r="K365" t="s">
        <v>19</v>
      </c>
      <c r="L365" t="s">
        <v>20</v>
      </c>
      <c r="M365">
        <v>95</v>
      </c>
      <c r="N365" t="s">
        <v>21</v>
      </c>
      <c r="O365" t="s">
        <v>22</v>
      </c>
      <c r="P365" t="s">
        <v>23</v>
      </c>
    </row>
    <row r="366" spans="1:16" x14ac:dyDescent="0.3">
      <c r="A366" t="s">
        <v>1167</v>
      </c>
      <c r="B366" t="s">
        <v>1168</v>
      </c>
      <c r="C366" s="1">
        <v>45269</v>
      </c>
      <c r="D366" s="1">
        <v>45268</v>
      </c>
      <c r="E366">
        <v>40</v>
      </c>
      <c r="F366">
        <v>40</v>
      </c>
      <c r="G366">
        <v>0</v>
      </c>
      <c r="H366">
        <v>-1</v>
      </c>
      <c r="I366" t="s">
        <v>1169</v>
      </c>
      <c r="J366" t="s">
        <v>1170</v>
      </c>
      <c r="K366" t="s">
        <v>235</v>
      </c>
      <c r="L366" t="s">
        <v>265</v>
      </c>
      <c r="M366">
        <v>80</v>
      </c>
      <c r="N366" t="s">
        <v>93</v>
      </c>
      <c r="O366" t="s">
        <v>22</v>
      </c>
      <c r="P366" t="s">
        <v>23</v>
      </c>
    </row>
    <row r="367" spans="1:16" x14ac:dyDescent="0.3">
      <c r="A367" t="s">
        <v>1171</v>
      </c>
      <c r="B367" t="s">
        <v>1172</v>
      </c>
      <c r="C367" s="1">
        <v>45270</v>
      </c>
      <c r="D367" s="1">
        <v>45270</v>
      </c>
      <c r="E367">
        <v>450</v>
      </c>
      <c r="F367">
        <v>450</v>
      </c>
      <c r="G367">
        <v>0</v>
      </c>
      <c r="H367">
        <v>0</v>
      </c>
      <c r="I367" t="s">
        <v>108</v>
      </c>
      <c r="J367" t="s">
        <v>109</v>
      </c>
      <c r="K367" t="s">
        <v>19</v>
      </c>
      <c r="L367" t="s">
        <v>110</v>
      </c>
      <c r="M367">
        <v>100</v>
      </c>
      <c r="N367" t="s">
        <v>21</v>
      </c>
      <c r="O367" t="s">
        <v>22</v>
      </c>
      <c r="P367" t="s">
        <v>23</v>
      </c>
    </row>
    <row r="368" spans="1:16" x14ac:dyDescent="0.3">
      <c r="A368" t="s">
        <v>1173</v>
      </c>
      <c r="B368" t="s">
        <v>1174</v>
      </c>
      <c r="C368" s="1">
        <v>45270</v>
      </c>
      <c r="D368" s="1">
        <v>45270</v>
      </c>
      <c r="E368">
        <v>10</v>
      </c>
      <c r="F368">
        <v>10</v>
      </c>
      <c r="G368">
        <v>0</v>
      </c>
      <c r="H368">
        <v>0</v>
      </c>
      <c r="I368" t="s">
        <v>1175</v>
      </c>
      <c r="J368" t="s">
        <v>1176</v>
      </c>
      <c r="K368" t="s">
        <v>19</v>
      </c>
      <c r="L368" t="s">
        <v>20</v>
      </c>
      <c r="M368">
        <v>95</v>
      </c>
      <c r="N368" t="s">
        <v>21</v>
      </c>
      <c r="O368" t="s">
        <v>22</v>
      </c>
      <c r="P368" t="s">
        <v>23</v>
      </c>
    </row>
    <row r="369" spans="1:16" x14ac:dyDescent="0.3">
      <c r="A369" t="s">
        <v>1177</v>
      </c>
      <c r="B369" t="s">
        <v>1178</v>
      </c>
      <c r="C369" s="1">
        <v>45270</v>
      </c>
      <c r="D369" s="1">
        <v>45270</v>
      </c>
      <c r="E369">
        <v>5</v>
      </c>
      <c r="F369">
        <v>5</v>
      </c>
      <c r="G369">
        <v>0</v>
      </c>
      <c r="H369">
        <v>0</v>
      </c>
      <c r="I369" t="s">
        <v>1179</v>
      </c>
      <c r="J369" t="s">
        <v>1180</v>
      </c>
      <c r="K369" t="s">
        <v>19</v>
      </c>
      <c r="L369" t="s">
        <v>20</v>
      </c>
      <c r="M369">
        <v>95</v>
      </c>
      <c r="N369" t="s">
        <v>21</v>
      </c>
      <c r="O369" t="s">
        <v>22</v>
      </c>
      <c r="P369" t="s">
        <v>23</v>
      </c>
    </row>
    <row r="370" spans="1:16" x14ac:dyDescent="0.3">
      <c r="A370" t="s">
        <v>1181</v>
      </c>
      <c r="B370" t="s">
        <v>1182</v>
      </c>
      <c r="C370" s="1">
        <v>45271</v>
      </c>
      <c r="D370" s="1">
        <v>45271</v>
      </c>
      <c r="E370">
        <v>2300</v>
      </c>
      <c r="F370">
        <v>2300</v>
      </c>
      <c r="G370">
        <v>0</v>
      </c>
      <c r="H370">
        <v>0</v>
      </c>
      <c r="I370" t="s">
        <v>108</v>
      </c>
      <c r="J370" t="s">
        <v>109</v>
      </c>
      <c r="K370" t="s">
        <v>19</v>
      </c>
      <c r="L370" t="s">
        <v>110</v>
      </c>
      <c r="M370">
        <v>100</v>
      </c>
      <c r="N370" t="s">
        <v>21</v>
      </c>
      <c r="O370" t="s">
        <v>22</v>
      </c>
      <c r="P370" t="s">
        <v>23</v>
      </c>
    </row>
    <row r="371" spans="1:16" x14ac:dyDescent="0.3">
      <c r="A371" t="s">
        <v>1183</v>
      </c>
      <c r="B371" t="s">
        <v>1184</v>
      </c>
      <c r="C371" s="1">
        <v>45271</v>
      </c>
      <c r="D371" s="1">
        <v>45271</v>
      </c>
      <c r="E371">
        <v>30</v>
      </c>
      <c r="F371">
        <v>30</v>
      </c>
      <c r="G371">
        <v>0</v>
      </c>
      <c r="H371">
        <v>0</v>
      </c>
      <c r="I371" t="s">
        <v>1185</v>
      </c>
      <c r="J371" t="s">
        <v>1186</v>
      </c>
      <c r="K371" t="s">
        <v>19</v>
      </c>
      <c r="L371" t="s">
        <v>20</v>
      </c>
      <c r="M371">
        <v>95</v>
      </c>
      <c r="N371" t="s">
        <v>21</v>
      </c>
      <c r="O371" t="s">
        <v>22</v>
      </c>
      <c r="P371" t="s">
        <v>23</v>
      </c>
    </row>
    <row r="372" spans="1:16" x14ac:dyDescent="0.3">
      <c r="A372" t="s">
        <v>1187</v>
      </c>
      <c r="B372" t="s">
        <v>1188</v>
      </c>
      <c r="C372" s="1">
        <v>45272</v>
      </c>
      <c r="D372" s="1">
        <v>45272</v>
      </c>
      <c r="E372">
        <v>400</v>
      </c>
      <c r="F372">
        <v>400</v>
      </c>
      <c r="G372">
        <v>0</v>
      </c>
      <c r="H372">
        <v>0</v>
      </c>
      <c r="I372" t="s">
        <v>108</v>
      </c>
      <c r="J372" t="s">
        <v>109</v>
      </c>
      <c r="K372" t="s">
        <v>19</v>
      </c>
      <c r="L372" t="s">
        <v>110</v>
      </c>
      <c r="M372">
        <v>100</v>
      </c>
      <c r="N372" t="s">
        <v>21</v>
      </c>
      <c r="O372" t="s">
        <v>22</v>
      </c>
      <c r="P372" t="s">
        <v>23</v>
      </c>
    </row>
    <row r="373" spans="1:16" x14ac:dyDescent="0.3">
      <c r="A373" t="s">
        <v>1189</v>
      </c>
      <c r="B373" t="s">
        <v>1190</v>
      </c>
      <c r="C373" s="1">
        <v>45272</v>
      </c>
      <c r="D373" s="1">
        <v>45272</v>
      </c>
      <c r="E373">
        <v>239</v>
      </c>
      <c r="F373">
        <v>239</v>
      </c>
      <c r="G373">
        <v>0</v>
      </c>
      <c r="H373">
        <v>0</v>
      </c>
      <c r="I373" t="s">
        <v>772</v>
      </c>
      <c r="J373" t="s">
        <v>773</v>
      </c>
      <c r="K373" t="s">
        <v>19</v>
      </c>
      <c r="L373" t="s">
        <v>20</v>
      </c>
      <c r="M373">
        <v>95</v>
      </c>
      <c r="N373" t="s">
        <v>21</v>
      </c>
      <c r="O373" t="s">
        <v>22</v>
      </c>
      <c r="P373" t="s">
        <v>23</v>
      </c>
    </row>
    <row r="374" spans="1:16" x14ac:dyDescent="0.3">
      <c r="A374" t="s">
        <v>1191</v>
      </c>
      <c r="B374" t="s">
        <v>1192</v>
      </c>
      <c r="C374" s="1">
        <v>45273</v>
      </c>
      <c r="D374" s="1">
        <v>45273</v>
      </c>
      <c r="E374">
        <v>2150</v>
      </c>
      <c r="F374">
        <v>2150</v>
      </c>
      <c r="G374">
        <v>0</v>
      </c>
      <c r="H374">
        <v>0</v>
      </c>
      <c r="I374" t="s">
        <v>108</v>
      </c>
      <c r="J374" t="s">
        <v>109</v>
      </c>
      <c r="K374" t="s">
        <v>19</v>
      </c>
      <c r="L374" t="s">
        <v>110</v>
      </c>
      <c r="M374">
        <v>100</v>
      </c>
      <c r="N374" t="s">
        <v>21</v>
      </c>
      <c r="O374" t="s">
        <v>22</v>
      </c>
      <c r="P374" t="s">
        <v>23</v>
      </c>
    </row>
    <row r="375" spans="1:16" x14ac:dyDescent="0.3">
      <c r="A375" t="s">
        <v>1193</v>
      </c>
      <c r="B375" t="s">
        <v>1194</v>
      </c>
      <c r="C375" s="1">
        <v>45273</v>
      </c>
      <c r="D375" s="1">
        <v>45273</v>
      </c>
      <c r="E375">
        <v>55</v>
      </c>
      <c r="F375">
        <v>55</v>
      </c>
      <c r="G375">
        <v>0</v>
      </c>
      <c r="H375">
        <v>0</v>
      </c>
      <c r="I375" t="s">
        <v>1195</v>
      </c>
      <c r="J375" t="s">
        <v>1196</v>
      </c>
      <c r="K375" t="s">
        <v>19</v>
      </c>
      <c r="L375" t="s">
        <v>20</v>
      </c>
      <c r="M375">
        <v>95</v>
      </c>
      <c r="N375" t="s">
        <v>21</v>
      </c>
      <c r="O375" t="s">
        <v>22</v>
      </c>
      <c r="P375" t="s">
        <v>23</v>
      </c>
    </row>
    <row r="376" spans="1:16" x14ac:dyDescent="0.3">
      <c r="A376" t="s">
        <v>1197</v>
      </c>
      <c r="B376" t="s">
        <v>1198</v>
      </c>
      <c r="C376" s="1">
        <v>45273</v>
      </c>
      <c r="D376" s="1">
        <v>45273</v>
      </c>
      <c r="E376">
        <v>300</v>
      </c>
      <c r="F376">
        <v>300</v>
      </c>
      <c r="G376">
        <v>0</v>
      </c>
      <c r="H376">
        <v>0</v>
      </c>
      <c r="I376" t="s">
        <v>81</v>
      </c>
      <c r="J376" t="s">
        <v>82</v>
      </c>
      <c r="K376" t="s">
        <v>19</v>
      </c>
      <c r="L376" t="s">
        <v>20</v>
      </c>
      <c r="M376">
        <v>95</v>
      </c>
      <c r="N376" t="s">
        <v>21</v>
      </c>
      <c r="O376" t="s">
        <v>22</v>
      </c>
      <c r="P376" t="s">
        <v>23</v>
      </c>
    </row>
    <row r="377" spans="1:16" x14ac:dyDescent="0.3">
      <c r="A377" t="s">
        <v>1199</v>
      </c>
      <c r="B377" t="s">
        <v>1200</v>
      </c>
      <c r="C377" s="1">
        <v>45273</v>
      </c>
      <c r="D377" s="1">
        <v>45273</v>
      </c>
      <c r="E377">
        <v>195</v>
      </c>
      <c r="F377">
        <v>195</v>
      </c>
      <c r="G377">
        <v>0</v>
      </c>
      <c r="H377">
        <v>0</v>
      </c>
      <c r="I377" t="s">
        <v>1201</v>
      </c>
      <c r="J377" t="s">
        <v>1202</v>
      </c>
      <c r="K377" t="s">
        <v>19</v>
      </c>
      <c r="L377" t="s">
        <v>20</v>
      </c>
      <c r="M377">
        <v>95</v>
      </c>
      <c r="N377" t="s">
        <v>21</v>
      </c>
      <c r="O377" t="s">
        <v>22</v>
      </c>
      <c r="P377" t="s">
        <v>23</v>
      </c>
    </row>
    <row r="378" spans="1:16" x14ac:dyDescent="0.3">
      <c r="A378" t="s">
        <v>1203</v>
      </c>
      <c r="B378" t="s">
        <v>1204</v>
      </c>
      <c r="C378" s="1">
        <v>45274</v>
      </c>
      <c r="D378" s="1">
        <v>45274</v>
      </c>
      <c r="E378">
        <v>550</v>
      </c>
      <c r="F378">
        <v>550</v>
      </c>
      <c r="G378">
        <v>0</v>
      </c>
      <c r="H378">
        <v>0</v>
      </c>
      <c r="I378" t="s">
        <v>108</v>
      </c>
      <c r="J378" t="s">
        <v>109</v>
      </c>
      <c r="K378" t="s">
        <v>19</v>
      </c>
      <c r="L378" t="s">
        <v>110</v>
      </c>
      <c r="M378">
        <v>100</v>
      </c>
      <c r="N378" t="s">
        <v>21</v>
      </c>
      <c r="O378" t="s">
        <v>22</v>
      </c>
      <c r="P378" t="s">
        <v>23</v>
      </c>
    </row>
    <row r="379" spans="1:16" x14ac:dyDescent="0.3">
      <c r="A379" t="s">
        <v>1205</v>
      </c>
      <c r="B379" t="s">
        <v>1206</v>
      </c>
      <c r="C379" s="1">
        <v>45274</v>
      </c>
      <c r="D379" s="1">
        <v>45274</v>
      </c>
      <c r="E379">
        <v>10</v>
      </c>
      <c r="F379">
        <v>10</v>
      </c>
      <c r="G379">
        <v>0</v>
      </c>
      <c r="H379">
        <v>0</v>
      </c>
      <c r="I379" t="s">
        <v>1207</v>
      </c>
      <c r="J379" t="s">
        <v>1208</v>
      </c>
      <c r="K379" t="s">
        <v>19</v>
      </c>
      <c r="L379" t="s">
        <v>20</v>
      </c>
      <c r="M379">
        <v>95</v>
      </c>
      <c r="N379" t="s">
        <v>21</v>
      </c>
      <c r="O379" t="s">
        <v>22</v>
      </c>
      <c r="P379" t="s">
        <v>23</v>
      </c>
    </row>
    <row r="380" spans="1:16" x14ac:dyDescent="0.3">
      <c r="A380" t="s">
        <v>1209</v>
      </c>
      <c r="B380" t="s">
        <v>1210</v>
      </c>
      <c r="C380" s="1">
        <v>45274</v>
      </c>
      <c r="D380" s="1">
        <v>45274</v>
      </c>
      <c r="E380">
        <v>2000</v>
      </c>
      <c r="F380">
        <v>2000</v>
      </c>
      <c r="G380">
        <v>0</v>
      </c>
      <c r="H380">
        <v>0</v>
      </c>
      <c r="I380" t="s">
        <v>1211</v>
      </c>
      <c r="J380" t="s">
        <v>1212</v>
      </c>
      <c r="K380" t="s">
        <v>19</v>
      </c>
      <c r="L380" t="s">
        <v>20</v>
      </c>
      <c r="M380">
        <v>95</v>
      </c>
      <c r="N380" t="s">
        <v>21</v>
      </c>
      <c r="O380" t="s">
        <v>22</v>
      </c>
      <c r="P380" t="s">
        <v>23</v>
      </c>
    </row>
    <row r="381" spans="1:16" x14ac:dyDescent="0.3">
      <c r="A381" t="s">
        <v>1213</v>
      </c>
      <c r="B381" t="s">
        <v>1214</v>
      </c>
      <c r="C381" s="1">
        <v>45275</v>
      </c>
      <c r="D381" s="1">
        <v>45275</v>
      </c>
      <c r="E381">
        <v>30</v>
      </c>
      <c r="F381">
        <v>30</v>
      </c>
      <c r="G381">
        <v>0</v>
      </c>
      <c r="H381">
        <v>0</v>
      </c>
      <c r="I381" t="s">
        <v>1215</v>
      </c>
      <c r="J381" t="s">
        <v>1216</v>
      </c>
      <c r="K381" t="s">
        <v>19</v>
      </c>
      <c r="L381" t="s">
        <v>20</v>
      </c>
      <c r="M381">
        <v>95</v>
      </c>
      <c r="N381" t="s">
        <v>21</v>
      </c>
      <c r="O381" t="s">
        <v>22</v>
      </c>
      <c r="P381" t="s">
        <v>23</v>
      </c>
    </row>
    <row r="382" spans="1:16" x14ac:dyDescent="0.3">
      <c r="A382" t="s">
        <v>1217</v>
      </c>
      <c r="B382" t="s">
        <v>1218</v>
      </c>
      <c r="C382" s="1">
        <v>45276</v>
      </c>
      <c r="D382" s="1">
        <v>45276</v>
      </c>
      <c r="E382">
        <v>700</v>
      </c>
      <c r="F382">
        <v>700</v>
      </c>
      <c r="G382">
        <v>0</v>
      </c>
      <c r="H382">
        <v>0</v>
      </c>
      <c r="I382" t="s">
        <v>108</v>
      </c>
      <c r="J382" t="s">
        <v>109</v>
      </c>
      <c r="K382" t="s">
        <v>19</v>
      </c>
      <c r="L382" t="s">
        <v>110</v>
      </c>
      <c r="M382">
        <v>100</v>
      </c>
      <c r="N382" t="s">
        <v>21</v>
      </c>
      <c r="O382" t="s">
        <v>22</v>
      </c>
      <c r="P382" t="s">
        <v>23</v>
      </c>
    </row>
    <row r="383" spans="1:16" x14ac:dyDescent="0.3">
      <c r="A383" t="s">
        <v>1219</v>
      </c>
      <c r="B383" t="s">
        <v>1220</v>
      </c>
      <c r="C383" s="1">
        <v>45276</v>
      </c>
      <c r="D383" s="1">
        <v>45276</v>
      </c>
      <c r="E383">
        <v>30</v>
      </c>
      <c r="F383">
        <v>30</v>
      </c>
      <c r="G383">
        <v>0</v>
      </c>
      <c r="H383">
        <v>0</v>
      </c>
      <c r="I383" t="s">
        <v>358</v>
      </c>
      <c r="J383" t="s">
        <v>359</v>
      </c>
      <c r="K383" t="s">
        <v>19</v>
      </c>
      <c r="L383" t="s">
        <v>20</v>
      </c>
      <c r="M383">
        <v>95</v>
      </c>
      <c r="N383" t="s">
        <v>21</v>
      </c>
      <c r="O383" t="s">
        <v>22</v>
      </c>
      <c r="P383" t="s">
        <v>23</v>
      </c>
    </row>
    <row r="384" spans="1:16" x14ac:dyDescent="0.3">
      <c r="A384" t="s">
        <v>1221</v>
      </c>
      <c r="B384" t="s">
        <v>1222</v>
      </c>
      <c r="C384" s="1">
        <v>45276</v>
      </c>
      <c r="D384" s="1">
        <v>45276</v>
      </c>
      <c r="E384">
        <v>500</v>
      </c>
      <c r="F384">
        <v>500</v>
      </c>
      <c r="G384">
        <v>0</v>
      </c>
      <c r="H384">
        <v>0</v>
      </c>
      <c r="I384" t="s">
        <v>1223</v>
      </c>
      <c r="J384" t="s">
        <v>1224</v>
      </c>
      <c r="K384" t="s">
        <v>19</v>
      </c>
      <c r="L384" t="s">
        <v>20</v>
      </c>
      <c r="M384">
        <v>95</v>
      </c>
      <c r="N384" t="s">
        <v>21</v>
      </c>
      <c r="O384" t="s">
        <v>22</v>
      </c>
      <c r="P384" t="s">
        <v>23</v>
      </c>
    </row>
    <row r="385" spans="1:16" x14ac:dyDescent="0.3">
      <c r="A385" t="s">
        <v>1225</v>
      </c>
      <c r="B385" t="s">
        <v>1226</v>
      </c>
      <c r="C385" s="1">
        <v>45277</v>
      </c>
      <c r="D385" s="1">
        <v>45277</v>
      </c>
      <c r="E385">
        <v>1100</v>
      </c>
      <c r="F385">
        <v>1100</v>
      </c>
      <c r="G385">
        <v>0</v>
      </c>
      <c r="H385">
        <v>0</v>
      </c>
      <c r="I385" t="s">
        <v>108</v>
      </c>
      <c r="J385" t="s">
        <v>109</v>
      </c>
      <c r="K385" t="s">
        <v>19</v>
      </c>
      <c r="L385" t="s">
        <v>110</v>
      </c>
      <c r="M385">
        <v>100</v>
      </c>
      <c r="N385" t="s">
        <v>21</v>
      </c>
      <c r="O385" t="s">
        <v>22</v>
      </c>
      <c r="P385" t="s">
        <v>23</v>
      </c>
    </row>
    <row r="386" spans="1:16" x14ac:dyDescent="0.3">
      <c r="A386" t="s">
        <v>1227</v>
      </c>
      <c r="B386" t="s">
        <v>1228</v>
      </c>
      <c r="C386" s="1">
        <v>45277</v>
      </c>
      <c r="D386" s="1">
        <v>45277</v>
      </c>
      <c r="E386">
        <v>500</v>
      </c>
      <c r="F386">
        <v>500</v>
      </c>
      <c r="G386">
        <v>0</v>
      </c>
      <c r="H386">
        <v>0</v>
      </c>
      <c r="I386" t="s">
        <v>1229</v>
      </c>
      <c r="J386" t="s">
        <v>1230</v>
      </c>
      <c r="K386" t="s">
        <v>19</v>
      </c>
      <c r="L386" t="s">
        <v>20</v>
      </c>
      <c r="M386">
        <v>95</v>
      </c>
      <c r="N386" t="s">
        <v>21</v>
      </c>
      <c r="O386" t="s">
        <v>22</v>
      </c>
      <c r="P386" t="s">
        <v>23</v>
      </c>
    </row>
    <row r="387" spans="1:16" x14ac:dyDescent="0.3">
      <c r="A387" t="s">
        <v>1231</v>
      </c>
      <c r="B387" t="s">
        <v>1232</v>
      </c>
      <c r="C387" s="1">
        <v>45277</v>
      </c>
      <c r="D387" s="1">
        <v>45277</v>
      </c>
      <c r="E387">
        <v>120</v>
      </c>
      <c r="F387">
        <v>120</v>
      </c>
      <c r="G387">
        <v>0</v>
      </c>
      <c r="H387">
        <v>0</v>
      </c>
      <c r="I387" t="s">
        <v>1233</v>
      </c>
      <c r="J387" t="s">
        <v>1234</v>
      </c>
      <c r="K387" t="s">
        <v>19</v>
      </c>
      <c r="L387" t="s">
        <v>20</v>
      </c>
      <c r="M387">
        <v>95</v>
      </c>
      <c r="N387" t="s">
        <v>21</v>
      </c>
      <c r="O387" t="s">
        <v>22</v>
      </c>
      <c r="P387" t="s">
        <v>23</v>
      </c>
    </row>
    <row r="388" spans="1:16" x14ac:dyDescent="0.3">
      <c r="A388" t="s">
        <v>1235</v>
      </c>
      <c r="B388" t="s">
        <v>1236</v>
      </c>
      <c r="C388" s="1">
        <v>45277</v>
      </c>
      <c r="D388" s="1">
        <v>45277</v>
      </c>
      <c r="E388">
        <v>20</v>
      </c>
      <c r="F388">
        <v>20</v>
      </c>
      <c r="G388">
        <v>0</v>
      </c>
      <c r="H388">
        <v>0</v>
      </c>
      <c r="I388" t="s">
        <v>1237</v>
      </c>
      <c r="J388" t="s">
        <v>1238</v>
      </c>
      <c r="K388" t="s">
        <v>19</v>
      </c>
      <c r="L388" t="s">
        <v>20</v>
      </c>
      <c r="M388">
        <v>95</v>
      </c>
      <c r="N388" t="s">
        <v>21</v>
      </c>
      <c r="O388" t="s">
        <v>22</v>
      </c>
      <c r="P388" t="s">
        <v>23</v>
      </c>
    </row>
    <row r="389" spans="1:16" x14ac:dyDescent="0.3">
      <c r="A389" t="s">
        <v>1239</v>
      </c>
      <c r="B389" t="s">
        <v>1240</v>
      </c>
      <c r="C389" s="1">
        <v>45277</v>
      </c>
      <c r="D389" s="1">
        <v>45277</v>
      </c>
      <c r="E389">
        <v>30</v>
      </c>
      <c r="F389">
        <v>30</v>
      </c>
      <c r="G389">
        <v>0</v>
      </c>
      <c r="H389">
        <v>0</v>
      </c>
      <c r="I389" t="s">
        <v>1241</v>
      </c>
      <c r="J389" t="s">
        <v>1242</v>
      </c>
      <c r="K389" t="s">
        <v>19</v>
      </c>
      <c r="L389" t="s">
        <v>20</v>
      </c>
      <c r="M389">
        <v>95</v>
      </c>
      <c r="N389" t="s">
        <v>21</v>
      </c>
      <c r="O389" t="s">
        <v>22</v>
      </c>
      <c r="P389" t="s">
        <v>23</v>
      </c>
    </row>
    <row r="390" spans="1:16" x14ac:dyDescent="0.3">
      <c r="A390" t="s">
        <v>1243</v>
      </c>
      <c r="B390" t="s">
        <v>1244</v>
      </c>
      <c r="C390" s="1">
        <v>45278</v>
      </c>
      <c r="D390" s="1">
        <v>45278</v>
      </c>
      <c r="E390">
        <v>1150</v>
      </c>
      <c r="F390">
        <v>1150</v>
      </c>
      <c r="G390">
        <v>0</v>
      </c>
      <c r="H390">
        <v>0</v>
      </c>
      <c r="I390" t="s">
        <v>108</v>
      </c>
      <c r="J390" t="s">
        <v>109</v>
      </c>
      <c r="K390" t="s">
        <v>19</v>
      </c>
      <c r="L390" t="s">
        <v>110</v>
      </c>
      <c r="M390">
        <v>100</v>
      </c>
      <c r="N390" t="s">
        <v>21</v>
      </c>
      <c r="O390" t="s">
        <v>22</v>
      </c>
      <c r="P390" t="s">
        <v>23</v>
      </c>
    </row>
    <row r="391" spans="1:16" x14ac:dyDescent="0.3">
      <c r="A391" t="s">
        <v>1245</v>
      </c>
      <c r="B391" t="s">
        <v>1246</v>
      </c>
      <c r="C391" s="1">
        <v>45278</v>
      </c>
      <c r="D391" s="1">
        <v>45278</v>
      </c>
      <c r="E391">
        <v>1300</v>
      </c>
      <c r="F391">
        <v>1300</v>
      </c>
      <c r="G391">
        <v>0</v>
      </c>
      <c r="H391">
        <v>0</v>
      </c>
      <c r="I391" t="s">
        <v>1247</v>
      </c>
      <c r="J391" t="s">
        <v>1248</v>
      </c>
      <c r="K391" t="s">
        <v>19</v>
      </c>
      <c r="L391" t="s">
        <v>20</v>
      </c>
      <c r="M391">
        <v>95</v>
      </c>
      <c r="N391" t="s">
        <v>21</v>
      </c>
      <c r="O391" t="s">
        <v>22</v>
      </c>
      <c r="P391" t="s">
        <v>23</v>
      </c>
    </row>
    <row r="392" spans="1:16" x14ac:dyDescent="0.3">
      <c r="A392" t="s">
        <v>1249</v>
      </c>
      <c r="B392" t="s">
        <v>1250</v>
      </c>
      <c r="C392" s="1">
        <v>45278</v>
      </c>
      <c r="D392" s="1">
        <v>45278</v>
      </c>
      <c r="E392">
        <v>1820</v>
      </c>
      <c r="F392">
        <v>1820</v>
      </c>
      <c r="G392">
        <v>0</v>
      </c>
      <c r="H392">
        <v>0</v>
      </c>
      <c r="I392" t="s">
        <v>89</v>
      </c>
      <c r="J392" t="s">
        <v>90</v>
      </c>
      <c r="K392" t="s">
        <v>19</v>
      </c>
      <c r="L392" t="s">
        <v>20</v>
      </c>
      <c r="M392">
        <v>95</v>
      </c>
      <c r="N392" t="s">
        <v>21</v>
      </c>
      <c r="O392" t="s">
        <v>22</v>
      </c>
      <c r="P392" t="s">
        <v>23</v>
      </c>
    </row>
    <row r="393" spans="1:16" x14ac:dyDescent="0.3">
      <c r="A393" t="s">
        <v>1251</v>
      </c>
      <c r="B393" t="s">
        <v>1252</v>
      </c>
      <c r="C393" s="1">
        <v>45279</v>
      </c>
      <c r="D393" s="1">
        <v>45279</v>
      </c>
      <c r="E393">
        <v>40</v>
      </c>
      <c r="F393">
        <v>40</v>
      </c>
      <c r="G393">
        <v>0</v>
      </c>
      <c r="H393">
        <v>0</v>
      </c>
      <c r="I393" t="s">
        <v>835</v>
      </c>
      <c r="J393" t="s">
        <v>836</v>
      </c>
      <c r="K393" t="s">
        <v>19</v>
      </c>
      <c r="L393" t="s">
        <v>20</v>
      </c>
      <c r="M393">
        <v>95</v>
      </c>
      <c r="N393" t="s">
        <v>21</v>
      </c>
      <c r="O393" t="s">
        <v>22</v>
      </c>
      <c r="P393" t="s">
        <v>23</v>
      </c>
    </row>
    <row r="394" spans="1:16" x14ac:dyDescent="0.3">
      <c r="A394" t="s">
        <v>1253</v>
      </c>
      <c r="B394" t="s">
        <v>1254</v>
      </c>
      <c r="C394" s="1">
        <v>45279</v>
      </c>
      <c r="D394" s="1">
        <v>45279</v>
      </c>
      <c r="E394">
        <v>500</v>
      </c>
      <c r="F394">
        <v>500</v>
      </c>
      <c r="G394">
        <v>0</v>
      </c>
      <c r="H394">
        <v>0</v>
      </c>
      <c r="I394" t="s">
        <v>1255</v>
      </c>
      <c r="J394" t="s">
        <v>1256</v>
      </c>
      <c r="K394" t="s">
        <v>19</v>
      </c>
      <c r="L394" t="s">
        <v>20</v>
      </c>
      <c r="M394">
        <v>95</v>
      </c>
      <c r="N394" t="s">
        <v>21</v>
      </c>
      <c r="O394" t="s">
        <v>22</v>
      </c>
      <c r="P394" t="s">
        <v>23</v>
      </c>
    </row>
    <row r="395" spans="1:16" x14ac:dyDescent="0.3">
      <c r="A395" t="s">
        <v>1257</v>
      </c>
      <c r="B395" t="s">
        <v>1258</v>
      </c>
      <c r="C395" s="1">
        <v>45279</v>
      </c>
      <c r="D395" s="1">
        <v>45279</v>
      </c>
      <c r="E395">
        <v>25</v>
      </c>
      <c r="F395">
        <v>25</v>
      </c>
      <c r="G395">
        <v>0</v>
      </c>
      <c r="H395">
        <v>0</v>
      </c>
      <c r="I395" t="s">
        <v>1259</v>
      </c>
      <c r="J395" t="s">
        <v>1260</v>
      </c>
      <c r="K395" t="s">
        <v>19</v>
      </c>
      <c r="L395" t="s">
        <v>20</v>
      </c>
      <c r="M395">
        <v>95</v>
      </c>
      <c r="N395" t="s">
        <v>21</v>
      </c>
      <c r="O395" t="s">
        <v>22</v>
      </c>
      <c r="P395" t="s">
        <v>23</v>
      </c>
    </row>
    <row r="396" spans="1:16" x14ac:dyDescent="0.3">
      <c r="A396" t="s">
        <v>1261</v>
      </c>
      <c r="B396" t="s">
        <v>1262</v>
      </c>
      <c r="C396" s="1">
        <v>45280</v>
      </c>
      <c r="D396" s="1">
        <v>45280</v>
      </c>
      <c r="E396">
        <v>1100</v>
      </c>
      <c r="F396">
        <v>1100</v>
      </c>
      <c r="G396">
        <v>0</v>
      </c>
      <c r="H396">
        <v>0</v>
      </c>
      <c r="I396" t="s">
        <v>108</v>
      </c>
      <c r="J396" t="s">
        <v>109</v>
      </c>
      <c r="K396" t="s">
        <v>19</v>
      </c>
      <c r="L396" t="s">
        <v>110</v>
      </c>
      <c r="M396">
        <v>100</v>
      </c>
      <c r="N396" t="s">
        <v>21</v>
      </c>
      <c r="O396" t="s">
        <v>22</v>
      </c>
      <c r="P396" t="s">
        <v>23</v>
      </c>
    </row>
    <row r="397" spans="1:16" x14ac:dyDescent="0.3">
      <c r="A397" t="s">
        <v>1263</v>
      </c>
      <c r="B397" t="s">
        <v>1264</v>
      </c>
      <c r="C397" s="1">
        <v>45280</v>
      </c>
      <c r="D397" s="1">
        <v>45280</v>
      </c>
      <c r="E397">
        <v>900</v>
      </c>
      <c r="F397">
        <v>900</v>
      </c>
      <c r="G397">
        <v>0</v>
      </c>
      <c r="H397">
        <v>0</v>
      </c>
      <c r="I397" t="s">
        <v>1265</v>
      </c>
      <c r="J397" t="s">
        <v>1266</v>
      </c>
      <c r="K397" t="s">
        <v>19</v>
      </c>
      <c r="L397" t="s">
        <v>20</v>
      </c>
      <c r="M397">
        <v>95</v>
      </c>
      <c r="N397" t="s">
        <v>21</v>
      </c>
      <c r="O397" t="s">
        <v>22</v>
      </c>
      <c r="P397" t="s">
        <v>23</v>
      </c>
    </row>
    <row r="398" spans="1:16" x14ac:dyDescent="0.3">
      <c r="A398" t="s">
        <v>1267</v>
      </c>
      <c r="B398" t="s">
        <v>1268</v>
      </c>
      <c r="C398" s="1">
        <v>45281</v>
      </c>
      <c r="D398" s="1">
        <v>45281</v>
      </c>
      <c r="E398">
        <v>1176</v>
      </c>
      <c r="F398">
        <v>1175.51</v>
      </c>
      <c r="G398">
        <v>0</v>
      </c>
      <c r="H398">
        <v>0</v>
      </c>
      <c r="I398" t="s">
        <v>108</v>
      </c>
      <c r="J398" t="s">
        <v>109</v>
      </c>
      <c r="K398" t="s">
        <v>19</v>
      </c>
      <c r="L398" t="s">
        <v>110</v>
      </c>
      <c r="M398">
        <v>100</v>
      </c>
      <c r="N398" t="s">
        <v>21</v>
      </c>
      <c r="O398" t="s">
        <v>22</v>
      </c>
      <c r="P398" t="s">
        <v>23</v>
      </c>
    </row>
    <row r="399" spans="1:16" x14ac:dyDescent="0.3">
      <c r="A399" t="s">
        <v>1269</v>
      </c>
      <c r="B399" t="s">
        <v>1270</v>
      </c>
      <c r="C399" s="1">
        <v>45281</v>
      </c>
      <c r="D399" s="1">
        <v>45281</v>
      </c>
      <c r="E399">
        <v>300</v>
      </c>
      <c r="F399">
        <v>300</v>
      </c>
      <c r="G399">
        <v>0</v>
      </c>
      <c r="H399">
        <v>0</v>
      </c>
      <c r="I399" t="s">
        <v>161</v>
      </c>
      <c r="J399" t="s">
        <v>161</v>
      </c>
      <c r="K399" t="s">
        <v>19</v>
      </c>
      <c r="L399" t="s">
        <v>20</v>
      </c>
      <c r="M399">
        <v>95</v>
      </c>
      <c r="N399" t="s">
        <v>21</v>
      </c>
      <c r="O399" t="s">
        <v>22</v>
      </c>
      <c r="P399" t="s">
        <v>23</v>
      </c>
    </row>
    <row r="400" spans="1:16" x14ac:dyDescent="0.3">
      <c r="A400" t="s">
        <v>1271</v>
      </c>
      <c r="B400" t="s">
        <v>1272</v>
      </c>
      <c r="C400" s="1">
        <v>45281</v>
      </c>
      <c r="D400" s="1">
        <v>45281</v>
      </c>
      <c r="E400">
        <v>500</v>
      </c>
      <c r="F400">
        <v>490</v>
      </c>
      <c r="G400">
        <v>-10</v>
      </c>
      <c r="H400">
        <v>0</v>
      </c>
      <c r="I400" t="s">
        <v>1273</v>
      </c>
      <c r="J400" t="s">
        <v>1274</v>
      </c>
      <c r="K400" t="s">
        <v>278</v>
      </c>
      <c r="L400" t="s">
        <v>623</v>
      </c>
      <c r="M400">
        <v>80</v>
      </c>
      <c r="N400" t="s">
        <v>93</v>
      </c>
      <c r="O400" t="s">
        <v>22</v>
      </c>
      <c r="P400" t="s">
        <v>23</v>
      </c>
    </row>
    <row r="401" spans="1:16" x14ac:dyDescent="0.3">
      <c r="A401" t="s">
        <v>1275</v>
      </c>
      <c r="B401" t="s">
        <v>1276</v>
      </c>
      <c r="C401" s="1">
        <v>45282</v>
      </c>
      <c r="D401" s="1">
        <v>45282</v>
      </c>
      <c r="E401">
        <v>2440</v>
      </c>
      <c r="F401">
        <v>2440</v>
      </c>
      <c r="G401">
        <v>0</v>
      </c>
      <c r="H401">
        <v>0</v>
      </c>
      <c r="I401" t="s">
        <v>108</v>
      </c>
      <c r="J401" t="s">
        <v>109</v>
      </c>
      <c r="K401" t="s">
        <v>19</v>
      </c>
      <c r="L401" t="s">
        <v>110</v>
      </c>
      <c r="M401">
        <v>100</v>
      </c>
      <c r="N401" t="s">
        <v>21</v>
      </c>
      <c r="O401" t="s">
        <v>22</v>
      </c>
      <c r="P401" t="s">
        <v>23</v>
      </c>
    </row>
    <row r="402" spans="1:16" x14ac:dyDescent="0.3">
      <c r="A402" t="s">
        <v>1277</v>
      </c>
      <c r="B402" t="s">
        <v>1278</v>
      </c>
      <c r="C402" s="1">
        <v>45282</v>
      </c>
      <c r="D402" s="1">
        <v>45282</v>
      </c>
      <c r="E402">
        <v>30</v>
      </c>
      <c r="F402">
        <v>30</v>
      </c>
      <c r="G402">
        <v>0</v>
      </c>
      <c r="H402">
        <v>0</v>
      </c>
      <c r="I402" t="s">
        <v>1279</v>
      </c>
      <c r="J402" t="s">
        <v>1280</v>
      </c>
      <c r="K402" t="s">
        <v>19</v>
      </c>
      <c r="L402" t="s">
        <v>20</v>
      </c>
      <c r="M402">
        <v>95</v>
      </c>
      <c r="N402" t="s">
        <v>21</v>
      </c>
      <c r="O402" t="s">
        <v>22</v>
      </c>
      <c r="P402" t="s">
        <v>23</v>
      </c>
    </row>
    <row r="403" spans="1:16" x14ac:dyDescent="0.3">
      <c r="A403" t="s">
        <v>1281</v>
      </c>
      <c r="B403" t="s">
        <v>1282</v>
      </c>
      <c r="C403" s="1">
        <v>45282</v>
      </c>
      <c r="D403" s="1">
        <v>45282</v>
      </c>
      <c r="E403">
        <v>25</v>
      </c>
      <c r="F403">
        <v>25</v>
      </c>
      <c r="G403">
        <v>0</v>
      </c>
      <c r="H403">
        <v>0</v>
      </c>
      <c r="I403" t="s">
        <v>1283</v>
      </c>
      <c r="J403" t="s">
        <v>1284</v>
      </c>
      <c r="K403" t="s">
        <v>19</v>
      </c>
      <c r="L403" t="s">
        <v>20</v>
      </c>
      <c r="M403">
        <v>95</v>
      </c>
      <c r="N403" t="s">
        <v>21</v>
      </c>
      <c r="O403" t="s">
        <v>22</v>
      </c>
      <c r="P403" t="s">
        <v>23</v>
      </c>
    </row>
    <row r="404" spans="1:16" x14ac:dyDescent="0.3">
      <c r="A404" t="s">
        <v>1285</v>
      </c>
      <c r="B404" t="s">
        <v>1286</v>
      </c>
      <c r="C404" s="1">
        <v>45283</v>
      </c>
      <c r="D404" s="1">
        <v>45283</v>
      </c>
      <c r="E404">
        <v>2730</v>
      </c>
      <c r="F404">
        <v>2730</v>
      </c>
      <c r="G404">
        <v>0</v>
      </c>
      <c r="H404">
        <v>0</v>
      </c>
      <c r="I404" t="s">
        <v>108</v>
      </c>
      <c r="J404" t="s">
        <v>109</v>
      </c>
      <c r="K404" t="s">
        <v>19</v>
      </c>
      <c r="L404" t="s">
        <v>20</v>
      </c>
      <c r="M404">
        <v>95</v>
      </c>
      <c r="N404" t="s">
        <v>21</v>
      </c>
      <c r="O404" t="s">
        <v>22</v>
      </c>
      <c r="P404" t="s">
        <v>23</v>
      </c>
    </row>
    <row r="405" spans="1:16" x14ac:dyDescent="0.3">
      <c r="A405" t="s">
        <v>1287</v>
      </c>
      <c r="B405" t="s">
        <v>1288</v>
      </c>
      <c r="C405" s="1">
        <v>45283</v>
      </c>
      <c r="D405" s="1">
        <v>45284</v>
      </c>
      <c r="E405">
        <v>241</v>
      </c>
      <c r="F405">
        <v>240.9</v>
      </c>
      <c r="G405">
        <v>0</v>
      </c>
      <c r="H405">
        <v>1</v>
      </c>
      <c r="I405" t="s">
        <v>719</v>
      </c>
      <c r="J405" t="s">
        <v>720</v>
      </c>
      <c r="K405" t="s">
        <v>235</v>
      </c>
      <c r="L405" t="s">
        <v>265</v>
      </c>
      <c r="M405">
        <v>80</v>
      </c>
      <c r="N405" t="s">
        <v>93</v>
      </c>
      <c r="O405" t="s">
        <v>22</v>
      </c>
      <c r="P405" t="s">
        <v>23</v>
      </c>
    </row>
    <row r="406" spans="1:16" x14ac:dyDescent="0.3">
      <c r="A406" t="s">
        <v>1289</v>
      </c>
      <c r="B406" t="s">
        <v>1290</v>
      </c>
      <c r="C406" s="1">
        <v>45283</v>
      </c>
      <c r="D406" s="1">
        <v>45283</v>
      </c>
      <c r="E406">
        <v>15</v>
      </c>
      <c r="F406">
        <v>15</v>
      </c>
      <c r="G406">
        <v>0</v>
      </c>
      <c r="H406">
        <v>0</v>
      </c>
      <c r="I406" t="s">
        <v>536</v>
      </c>
      <c r="J406" t="s">
        <v>537</v>
      </c>
      <c r="K406" t="s">
        <v>19</v>
      </c>
      <c r="L406" t="s">
        <v>20</v>
      </c>
      <c r="M406">
        <v>95</v>
      </c>
      <c r="N406" t="s">
        <v>21</v>
      </c>
      <c r="O406" t="s">
        <v>22</v>
      </c>
      <c r="P406" t="s">
        <v>23</v>
      </c>
    </row>
    <row r="407" spans="1:16" x14ac:dyDescent="0.3">
      <c r="A407" t="s">
        <v>1291</v>
      </c>
      <c r="B407" t="s">
        <v>1292</v>
      </c>
      <c r="C407" s="1">
        <v>45284</v>
      </c>
      <c r="D407" s="1">
        <v>45284</v>
      </c>
      <c r="E407">
        <v>800</v>
      </c>
      <c r="F407">
        <v>800</v>
      </c>
      <c r="G407">
        <v>0</v>
      </c>
      <c r="H407">
        <v>0</v>
      </c>
      <c r="I407" t="s">
        <v>108</v>
      </c>
      <c r="J407" t="s">
        <v>109</v>
      </c>
      <c r="K407" t="s">
        <v>19</v>
      </c>
      <c r="L407" t="s">
        <v>110</v>
      </c>
      <c r="M407">
        <v>100</v>
      </c>
      <c r="N407" t="s">
        <v>21</v>
      </c>
      <c r="O407" t="s">
        <v>22</v>
      </c>
      <c r="P407" t="s">
        <v>23</v>
      </c>
    </row>
    <row r="408" spans="1:16" x14ac:dyDescent="0.3">
      <c r="A408" t="s">
        <v>1293</v>
      </c>
      <c r="B408" t="s">
        <v>1294</v>
      </c>
      <c r="C408" s="1">
        <v>45284</v>
      </c>
      <c r="D408" s="1">
        <v>45284</v>
      </c>
      <c r="E408">
        <v>55</v>
      </c>
      <c r="F408">
        <v>55</v>
      </c>
      <c r="G408">
        <v>0</v>
      </c>
      <c r="H408">
        <v>0</v>
      </c>
      <c r="I408" t="s">
        <v>1295</v>
      </c>
      <c r="J408" t="s">
        <v>1296</v>
      </c>
      <c r="K408" t="s">
        <v>19</v>
      </c>
      <c r="L408" t="s">
        <v>20</v>
      </c>
      <c r="M408">
        <v>95</v>
      </c>
      <c r="N408" t="s">
        <v>21</v>
      </c>
      <c r="O408" t="s">
        <v>22</v>
      </c>
      <c r="P408" t="s">
        <v>23</v>
      </c>
    </row>
    <row r="409" spans="1:16" x14ac:dyDescent="0.3">
      <c r="A409" t="s">
        <v>1297</v>
      </c>
      <c r="B409" t="s">
        <v>1298</v>
      </c>
      <c r="C409" s="1">
        <v>45284</v>
      </c>
      <c r="D409" s="1">
        <v>45284</v>
      </c>
      <c r="E409">
        <v>3000</v>
      </c>
      <c r="F409">
        <v>3000</v>
      </c>
      <c r="G409">
        <v>0</v>
      </c>
      <c r="H409">
        <v>0</v>
      </c>
      <c r="I409" t="s">
        <v>1299</v>
      </c>
      <c r="J409" t="s">
        <v>1300</v>
      </c>
      <c r="K409" t="s">
        <v>19</v>
      </c>
      <c r="L409" t="s">
        <v>20</v>
      </c>
      <c r="M409">
        <v>95</v>
      </c>
      <c r="N409" t="s">
        <v>21</v>
      </c>
      <c r="O409" t="s">
        <v>22</v>
      </c>
      <c r="P409" t="s">
        <v>23</v>
      </c>
    </row>
    <row r="410" spans="1:16" x14ac:dyDescent="0.3">
      <c r="A410" t="s">
        <v>1301</v>
      </c>
      <c r="B410" t="s">
        <v>1302</v>
      </c>
      <c r="C410" s="1">
        <v>45284</v>
      </c>
      <c r="D410" s="1">
        <v>45284</v>
      </c>
      <c r="E410">
        <v>500</v>
      </c>
      <c r="F410">
        <v>500</v>
      </c>
      <c r="G410">
        <v>0</v>
      </c>
      <c r="H410">
        <v>0</v>
      </c>
      <c r="I410" t="s">
        <v>1303</v>
      </c>
      <c r="J410" t="s">
        <v>1304</v>
      </c>
      <c r="K410" t="s">
        <v>91</v>
      </c>
      <c r="L410" t="s">
        <v>92</v>
      </c>
      <c r="M410">
        <v>85</v>
      </c>
      <c r="N410" t="s">
        <v>93</v>
      </c>
      <c r="O410" t="s">
        <v>22</v>
      </c>
      <c r="P410" t="s">
        <v>23</v>
      </c>
    </row>
    <row r="411" spans="1:16" x14ac:dyDescent="0.3">
      <c r="A411" t="s">
        <v>1305</v>
      </c>
      <c r="B411" t="s">
        <v>1306</v>
      </c>
      <c r="C411" s="1">
        <v>45284</v>
      </c>
      <c r="D411" s="1">
        <v>45284</v>
      </c>
      <c r="E411">
        <v>500</v>
      </c>
      <c r="F411">
        <v>500</v>
      </c>
      <c r="G411">
        <v>0</v>
      </c>
      <c r="H411">
        <v>0</v>
      </c>
      <c r="I411" t="s">
        <v>1307</v>
      </c>
      <c r="J411" t="s">
        <v>1308</v>
      </c>
      <c r="K411" t="s">
        <v>19</v>
      </c>
      <c r="L411" t="s">
        <v>20</v>
      </c>
      <c r="M411">
        <v>95</v>
      </c>
      <c r="N411" t="s">
        <v>21</v>
      </c>
      <c r="O411" t="s">
        <v>22</v>
      </c>
      <c r="P411" t="s">
        <v>23</v>
      </c>
    </row>
    <row r="412" spans="1:16" x14ac:dyDescent="0.3">
      <c r="A412" t="s">
        <v>1309</v>
      </c>
      <c r="B412" t="s">
        <v>1310</v>
      </c>
      <c r="C412" s="1">
        <v>45284</v>
      </c>
      <c r="D412" s="1">
        <v>45284</v>
      </c>
      <c r="E412">
        <v>100</v>
      </c>
      <c r="F412">
        <v>100</v>
      </c>
      <c r="G412">
        <v>0</v>
      </c>
      <c r="H412">
        <v>0</v>
      </c>
      <c r="I412" t="s">
        <v>67</v>
      </c>
      <c r="J412" t="s">
        <v>68</v>
      </c>
      <c r="K412" t="s">
        <v>19</v>
      </c>
      <c r="L412" t="s">
        <v>20</v>
      </c>
      <c r="M412">
        <v>95</v>
      </c>
      <c r="N412" t="s">
        <v>21</v>
      </c>
      <c r="O412" t="s">
        <v>22</v>
      </c>
      <c r="P412" t="s">
        <v>23</v>
      </c>
    </row>
    <row r="413" spans="1:16" x14ac:dyDescent="0.3">
      <c r="A413" t="s">
        <v>1311</v>
      </c>
      <c r="B413" t="s">
        <v>1312</v>
      </c>
      <c r="C413" s="1">
        <v>45285</v>
      </c>
      <c r="D413" s="1">
        <v>45285</v>
      </c>
      <c r="E413">
        <v>1000</v>
      </c>
      <c r="F413">
        <v>1000</v>
      </c>
      <c r="G413">
        <v>0</v>
      </c>
      <c r="H413">
        <v>0</v>
      </c>
      <c r="I413" t="s">
        <v>1313</v>
      </c>
      <c r="J413" t="s">
        <v>1314</v>
      </c>
      <c r="K413" t="s">
        <v>19</v>
      </c>
      <c r="L413" t="s">
        <v>20</v>
      </c>
      <c r="M413">
        <v>95</v>
      </c>
      <c r="N413" t="s">
        <v>21</v>
      </c>
      <c r="O413" t="s">
        <v>22</v>
      </c>
      <c r="P413" t="s">
        <v>23</v>
      </c>
    </row>
    <row r="414" spans="1:16" x14ac:dyDescent="0.3">
      <c r="A414" t="s">
        <v>1315</v>
      </c>
      <c r="B414" t="s">
        <v>1316</v>
      </c>
      <c r="C414" s="1">
        <v>45285</v>
      </c>
      <c r="D414" s="1">
        <v>45285</v>
      </c>
      <c r="E414">
        <v>700</v>
      </c>
      <c r="F414">
        <v>700</v>
      </c>
      <c r="G414">
        <v>0</v>
      </c>
      <c r="H414">
        <v>0</v>
      </c>
      <c r="I414" t="s">
        <v>1317</v>
      </c>
      <c r="J414" t="s">
        <v>1318</v>
      </c>
      <c r="K414" t="s">
        <v>19</v>
      </c>
      <c r="L414" t="s">
        <v>20</v>
      </c>
      <c r="M414">
        <v>95</v>
      </c>
      <c r="N414" t="s">
        <v>21</v>
      </c>
      <c r="O414" t="s">
        <v>22</v>
      </c>
      <c r="P414" t="s">
        <v>23</v>
      </c>
    </row>
    <row r="415" spans="1:16" x14ac:dyDescent="0.3">
      <c r="A415" t="s">
        <v>1319</v>
      </c>
      <c r="B415" t="s">
        <v>1320</v>
      </c>
      <c r="C415" s="1">
        <v>45285</v>
      </c>
      <c r="D415" s="1">
        <v>45285</v>
      </c>
      <c r="E415">
        <v>1</v>
      </c>
      <c r="F415">
        <v>1</v>
      </c>
      <c r="G415">
        <v>0</v>
      </c>
      <c r="H415">
        <v>0</v>
      </c>
      <c r="I415" t="s">
        <v>1321</v>
      </c>
      <c r="J415" t="s">
        <v>1322</v>
      </c>
      <c r="K415" t="s">
        <v>19</v>
      </c>
      <c r="L415" t="s">
        <v>20</v>
      </c>
      <c r="M415">
        <v>95</v>
      </c>
      <c r="N415" t="s">
        <v>21</v>
      </c>
      <c r="O415" t="s">
        <v>22</v>
      </c>
      <c r="P415" t="s">
        <v>23</v>
      </c>
    </row>
    <row r="416" spans="1:16" x14ac:dyDescent="0.3">
      <c r="A416" t="s">
        <v>1323</v>
      </c>
      <c r="B416" t="s">
        <v>1324</v>
      </c>
      <c r="C416" s="1">
        <v>45285</v>
      </c>
      <c r="D416" s="1">
        <v>45285</v>
      </c>
      <c r="E416">
        <v>2400</v>
      </c>
      <c r="F416">
        <v>2400</v>
      </c>
      <c r="G416">
        <v>0</v>
      </c>
      <c r="H416">
        <v>0</v>
      </c>
      <c r="I416" t="s">
        <v>1325</v>
      </c>
      <c r="J416" t="s">
        <v>1326</v>
      </c>
      <c r="K416" t="s">
        <v>19</v>
      </c>
      <c r="L416" t="s">
        <v>20</v>
      </c>
      <c r="M416">
        <v>95</v>
      </c>
      <c r="N416" t="s">
        <v>21</v>
      </c>
      <c r="O416" t="s">
        <v>22</v>
      </c>
      <c r="P416" t="s">
        <v>23</v>
      </c>
    </row>
    <row r="417" spans="1:16" x14ac:dyDescent="0.3">
      <c r="A417" t="s">
        <v>1327</v>
      </c>
      <c r="B417" t="s">
        <v>1328</v>
      </c>
      <c r="C417" s="1">
        <v>45285</v>
      </c>
      <c r="D417" s="1">
        <v>45285</v>
      </c>
      <c r="E417">
        <v>2520</v>
      </c>
      <c r="F417">
        <v>2520</v>
      </c>
      <c r="G417">
        <v>0</v>
      </c>
      <c r="H417">
        <v>0</v>
      </c>
      <c r="I417" t="s">
        <v>1329</v>
      </c>
      <c r="J417" t="s">
        <v>1330</v>
      </c>
      <c r="K417" t="s">
        <v>19</v>
      </c>
      <c r="L417" t="s">
        <v>20</v>
      </c>
      <c r="M417">
        <v>95</v>
      </c>
      <c r="N417" t="s">
        <v>21</v>
      </c>
      <c r="O417" t="s">
        <v>22</v>
      </c>
      <c r="P417" t="s">
        <v>23</v>
      </c>
    </row>
    <row r="418" spans="1:16" x14ac:dyDescent="0.3">
      <c r="A418" t="s">
        <v>1331</v>
      </c>
      <c r="B418" t="s">
        <v>1332</v>
      </c>
      <c r="C418" s="1">
        <v>45286</v>
      </c>
      <c r="D418" s="1">
        <v>45286</v>
      </c>
      <c r="E418">
        <v>850</v>
      </c>
      <c r="F418">
        <v>850</v>
      </c>
      <c r="G418">
        <v>0</v>
      </c>
      <c r="H418">
        <v>0</v>
      </c>
      <c r="I418" t="s">
        <v>108</v>
      </c>
      <c r="J418" t="s">
        <v>109</v>
      </c>
      <c r="K418" t="s">
        <v>19</v>
      </c>
      <c r="L418" t="s">
        <v>110</v>
      </c>
      <c r="M418">
        <v>100</v>
      </c>
      <c r="N418" t="s">
        <v>21</v>
      </c>
      <c r="O418" t="s">
        <v>22</v>
      </c>
      <c r="P418" t="s">
        <v>23</v>
      </c>
    </row>
    <row r="419" spans="1:16" x14ac:dyDescent="0.3">
      <c r="A419" t="s">
        <v>1333</v>
      </c>
      <c r="B419" t="s">
        <v>1334</v>
      </c>
      <c r="C419" s="1">
        <v>45287</v>
      </c>
      <c r="D419" s="1">
        <v>45287</v>
      </c>
      <c r="E419">
        <v>200</v>
      </c>
      <c r="F419">
        <v>200</v>
      </c>
      <c r="G419">
        <v>0</v>
      </c>
      <c r="H419">
        <v>0</v>
      </c>
      <c r="I419" t="s">
        <v>108</v>
      </c>
      <c r="J419" t="s">
        <v>109</v>
      </c>
      <c r="K419" t="s">
        <v>19</v>
      </c>
      <c r="L419" t="s">
        <v>110</v>
      </c>
      <c r="M419">
        <v>100</v>
      </c>
      <c r="N419" t="s">
        <v>21</v>
      </c>
      <c r="O419" t="s">
        <v>22</v>
      </c>
      <c r="P419" t="s">
        <v>23</v>
      </c>
    </row>
    <row r="420" spans="1:16" x14ac:dyDescent="0.3">
      <c r="A420" t="s">
        <v>1335</v>
      </c>
      <c r="B420" t="s">
        <v>1336</v>
      </c>
      <c r="C420" s="1">
        <v>45287</v>
      </c>
      <c r="D420" s="1">
        <v>45287</v>
      </c>
      <c r="E420">
        <v>241</v>
      </c>
      <c r="F420">
        <v>240.9</v>
      </c>
      <c r="G420">
        <v>0</v>
      </c>
      <c r="H420">
        <v>0</v>
      </c>
      <c r="I420" t="s">
        <v>719</v>
      </c>
      <c r="J420" t="s">
        <v>720</v>
      </c>
      <c r="K420" t="s">
        <v>19</v>
      </c>
      <c r="L420" t="s">
        <v>20</v>
      </c>
      <c r="M420">
        <v>95</v>
      </c>
      <c r="N420" t="s">
        <v>21</v>
      </c>
      <c r="O420" t="s">
        <v>22</v>
      </c>
      <c r="P420" t="s">
        <v>23</v>
      </c>
    </row>
    <row r="421" spans="1:16" x14ac:dyDescent="0.3">
      <c r="A421" t="s">
        <v>1337</v>
      </c>
      <c r="B421" t="s">
        <v>1338</v>
      </c>
      <c r="C421" s="1">
        <v>45287</v>
      </c>
      <c r="D421" s="1">
        <v>45287</v>
      </c>
      <c r="E421">
        <v>5000</v>
      </c>
      <c r="F421">
        <v>5000</v>
      </c>
      <c r="G421">
        <v>0</v>
      </c>
      <c r="H421">
        <v>0</v>
      </c>
      <c r="I421" t="s">
        <v>1339</v>
      </c>
      <c r="J421" t="s">
        <v>1340</v>
      </c>
      <c r="K421" t="s">
        <v>19</v>
      </c>
      <c r="L421" t="s">
        <v>20</v>
      </c>
      <c r="M421">
        <v>95</v>
      </c>
      <c r="N421" t="s">
        <v>21</v>
      </c>
      <c r="O421" t="s">
        <v>22</v>
      </c>
      <c r="P421" t="s">
        <v>23</v>
      </c>
    </row>
    <row r="422" spans="1:16" x14ac:dyDescent="0.3">
      <c r="A422" t="s">
        <v>1341</v>
      </c>
      <c r="B422" t="s">
        <v>1342</v>
      </c>
      <c r="C422" s="1">
        <v>45287</v>
      </c>
      <c r="D422" s="1">
        <v>45287</v>
      </c>
      <c r="E422">
        <v>500</v>
      </c>
      <c r="F422">
        <v>500</v>
      </c>
      <c r="G422">
        <v>0</v>
      </c>
      <c r="H422">
        <v>0</v>
      </c>
      <c r="I422" t="s">
        <v>1343</v>
      </c>
      <c r="J422" t="s">
        <v>1344</v>
      </c>
      <c r="K422" t="s">
        <v>19</v>
      </c>
      <c r="L422" t="s">
        <v>20</v>
      </c>
      <c r="M422">
        <v>95</v>
      </c>
      <c r="N422" t="s">
        <v>21</v>
      </c>
      <c r="O422" t="s">
        <v>22</v>
      </c>
      <c r="P422" t="s">
        <v>23</v>
      </c>
    </row>
    <row r="423" spans="1:16" x14ac:dyDescent="0.3">
      <c r="A423" t="s">
        <v>1345</v>
      </c>
      <c r="B423" t="s">
        <v>1346</v>
      </c>
      <c r="C423" s="1">
        <v>45287</v>
      </c>
      <c r="D423" s="1">
        <v>45287</v>
      </c>
      <c r="E423">
        <v>500</v>
      </c>
      <c r="F423">
        <v>475</v>
      </c>
      <c r="G423">
        <v>-25</v>
      </c>
      <c r="H423">
        <v>0</v>
      </c>
      <c r="I423" t="s">
        <v>1347</v>
      </c>
      <c r="J423" t="s">
        <v>1348</v>
      </c>
      <c r="K423" t="s">
        <v>278</v>
      </c>
      <c r="L423" t="s">
        <v>1349</v>
      </c>
      <c r="M423">
        <v>80</v>
      </c>
      <c r="N423" t="s">
        <v>93</v>
      </c>
      <c r="O423" t="s">
        <v>22</v>
      </c>
      <c r="P423" t="s">
        <v>23</v>
      </c>
    </row>
    <row r="424" spans="1:16" x14ac:dyDescent="0.3">
      <c r="A424" t="s">
        <v>1350</v>
      </c>
      <c r="B424" t="s">
        <v>1351</v>
      </c>
      <c r="C424" s="1">
        <v>45287</v>
      </c>
      <c r="D424" s="1">
        <v>45287</v>
      </c>
      <c r="E424">
        <v>15</v>
      </c>
      <c r="F424">
        <v>15</v>
      </c>
      <c r="G424">
        <v>0</v>
      </c>
      <c r="H424">
        <v>0</v>
      </c>
      <c r="I424" t="s">
        <v>1352</v>
      </c>
      <c r="J424" t="s">
        <v>1353</v>
      </c>
      <c r="K424" t="s">
        <v>19</v>
      </c>
      <c r="L424" t="s">
        <v>20</v>
      </c>
      <c r="M424">
        <v>95</v>
      </c>
      <c r="N424" t="s">
        <v>21</v>
      </c>
      <c r="O424" t="s">
        <v>22</v>
      </c>
      <c r="P424" t="s">
        <v>23</v>
      </c>
    </row>
    <row r="425" spans="1:16" x14ac:dyDescent="0.3">
      <c r="A425" t="s">
        <v>1354</v>
      </c>
      <c r="B425" t="s">
        <v>1355</v>
      </c>
      <c r="C425" s="1">
        <v>45288</v>
      </c>
      <c r="D425" s="1">
        <v>45288</v>
      </c>
      <c r="E425">
        <v>228</v>
      </c>
      <c r="F425">
        <v>228</v>
      </c>
      <c r="G425">
        <v>0</v>
      </c>
      <c r="H425">
        <v>0</v>
      </c>
      <c r="I425" t="s">
        <v>108</v>
      </c>
      <c r="J425" t="s">
        <v>109</v>
      </c>
      <c r="K425" t="s">
        <v>19</v>
      </c>
      <c r="L425" t="s">
        <v>110</v>
      </c>
      <c r="M425">
        <v>100</v>
      </c>
      <c r="N425" t="s">
        <v>21</v>
      </c>
      <c r="O425" t="s">
        <v>22</v>
      </c>
      <c r="P425" t="s">
        <v>23</v>
      </c>
    </row>
    <row r="426" spans="1:16" x14ac:dyDescent="0.3">
      <c r="A426" t="s">
        <v>1356</v>
      </c>
      <c r="B426" t="s">
        <v>1357</v>
      </c>
      <c r="C426" s="1">
        <v>45288</v>
      </c>
      <c r="D426" s="1">
        <v>45288</v>
      </c>
      <c r="E426">
        <v>20</v>
      </c>
      <c r="F426">
        <v>20</v>
      </c>
      <c r="G426">
        <v>0</v>
      </c>
      <c r="H426">
        <v>0</v>
      </c>
      <c r="I426" t="s">
        <v>1358</v>
      </c>
      <c r="J426" t="s">
        <v>1359</v>
      </c>
      <c r="K426" t="s">
        <v>19</v>
      </c>
      <c r="L426" t="s">
        <v>20</v>
      </c>
      <c r="M426">
        <v>95</v>
      </c>
      <c r="N426" t="s">
        <v>21</v>
      </c>
      <c r="O426" t="s">
        <v>22</v>
      </c>
      <c r="P426" t="s">
        <v>23</v>
      </c>
    </row>
    <row r="427" spans="1:16" x14ac:dyDescent="0.3">
      <c r="A427" t="s">
        <v>1360</v>
      </c>
      <c r="B427" t="s">
        <v>1361</v>
      </c>
      <c r="C427" s="1">
        <v>45289</v>
      </c>
      <c r="D427" s="1">
        <v>45289</v>
      </c>
      <c r="E427">
        <v>550</v>
      </c>
      <c r="F427">
        <v>550</v>
      </c>
      <c r="G427">
        <v>0</v>
      </c>
      <c r="H427">
        <v>0</v>
      </c>
      <c r="I427" t="s">
        <v>108</v>
      </c>
      <c r="J427" t="s">
        <v>109</v>
      </c>
      <c r="K427" t="s">
        <v>19</v>
      </c>
      <c r="L427" t="s">
        <v>110</v>
      </c>
      <c r="M427">
        <v>100</v>
      </c>
      <c r="N427" t="s">
        <v>21</v>
      </c>
      <c r="O427" t="s">
        <v>22</v>
      </c>
      <c r="P427" t="s">
        <v>23</v>
      </c>
    </row>
    <row r="428" spans="1:16" x14ac:dyDescent="0.3">
      <c r="A428" t="s">
        <v>1362</v>
      </c>
      <c r="B428" t="s">
        <v>161</v>
      </c>
      <c r="C428" s="1">
        <v>45289</v>
      </c>
      <c r="D428" s="1"/>
      <c r="E428">
        <v>10</v>
      </c>
      <c r="I428" t="s">
        <v>1363</v>
      </c>
      <c r="J428" t="s">
        <v>161</v>
      </c>
      <c r="K428" t="s">
        <v>162</v>
      </c>
      <c r="L428" t="s">
        <v>163</v>
      </c>
      <c r="M428">
        <v>0</v>
      </c>
      <c r="N428" t="s">
        <v>164</v>
      </c>
      <c r="O428" t="s">
        <v>22</v>
      </c>
      <c r="P428" t="s">
        <v>23</v>
      </c>
    </row>
    <row r="429" spans="1:16" x14ac:dyDescent="0.3">
      <c r="A429" t="s">
        <v>1364</v>
      </c>
      <c r="B429" t="s">
        <v>1365</v>
      </c>
      <c r="C429" s="1">
        <v>45290</v>
      </c>
      <c r="D429" s="1">
        <v>45290</v>
      </c>
      <c r="E429">
        <v>500</v>
      </c>
      <c r="F429">
        <v>500</v>
      </c>
      <c r="G429">
        <v>0</v>
      </c>
      <c r="H429">
        <v>0</v>
      </c>
      <c r="I429" t="s">
        <v>1366</v>
      </c>
      <c r="J429" t="s">
        <v>1367</v>
      </c>
      <c r="K429" t="s">
        <v>19</v>
      </c>
      <c r="L429" t="s">
        <v>20</v>
      </c>
      <c r="M429">
        <v>95</v>
      </c>
      <c r="N429" t="s">
        <v>21</v>
      </c>
      <c r="O429" t="s">
        <v>22</v>
      </c>
      <c r="P429" t="s">
        <v>23</v>
      </c>
    </row>
    <row r="430" spans="1:16" x14ac:dyDescent="0.3">
      <c r="A430" t="s">
        <v>1368</v>
      </c>
      <c r="B430" t="s">
        <v>1369</v>
      </c>
      <c r="C430" s="1">
        <v>45290</v>
      </c>
      <c r="D430" s="1">
        <v>45290</v>
      </c>
      <c r="E430">
        <v>78</v>
      </c>
      <c r="F430">
        <v>79.56</v>
      </c>
      <c r="G430">
        <v>1.56</v>
      </c>
      <c r="H430">
        <v>0</v>
      </c>
      <c r="I430" t="s">
        <v>1370</v>
      </c>
      <c r="J430" t="s">
        <v>1371</v>
      </c>
      <c r="K430" t="s">
        <v>278</v>
      </c>
      <c r="L430" t="s">
        <v>1372</v>
      </c>
      <c r="M430">
        <v>80</v>
      </c>
      <c r="N430" t="s">
        <v>93</v>
      </c>
      <c r="O430" t="s">
        <v>22</v>
      </c>
      <c r="P430" t="s">
        <v>23</v>
      </c>
    </row>
    <row r="431" spans="1:16" x14ac:dyDescent="0.3">
      <c r="A431" t="s">
        <v>1373</v>
      </c>
      <c r="B431" t="s">
        <v>1374</v>
      </c>
      <c r="C431" s="1">
        <v>45291</v>
      </c>
      <c r="D431" s="1">
        <v>45291</v>
      </c>
      <c r="E431">
        <v>1059</v>
      </c>
      <c r="F431">
        <v>1059</v>
      </c>
      <c r="G431">
        <v>0</v>
      </c>
      <c r="H431">
        <v>0</v>
      </c>
      <c r="I431" t="s">
        <v>108</v>
      </c>
      <c r="J431" t="s">
        <v>109</v>
      </c>
      <c r="K431" t="s">
        <v>19</v>
      </c>
      <c r="L431" t="s">
        <v>110</v>
      </c>
      <c r="M431">
        <v>100</v>
      </c>
      <c r="N431" t="s">
        <v>21</v>
      </c>
      <c r="O431" t="s">
        <v>22</v>
      </c>
      <c r="P431" t="s">
        <v>23</v>
      </c>
    </row>
    <row r="432" spans="1:16" x14ac:dyDescent="0.3">
      <c r="A432" t="s">
        <v>1375</v>
      </c>
      <c r="B432" t="s">
        <v>1376</v>
      </c>
      <c r="C432" s="1">
        <v>45291</v>
      </c>
      <c r="D432" s="1">
        <v>45291</v>
      </c>
      <c r="E432">
        <v>700</v>
      </c>
      <c r="F432">
        <v>700</v>
      </c>
      <c r="G432">
        <v>0</v>
      </c>
      <c r="H432">
        <v>0</v>
      </c>
      <c r="I432" t="s">
        <v>1377</v>
      </c>
      <c r="J432" t="s">
        <v>1378</v>
      </c>
      <c r="K432" t="s">
        <v>19</v>
      </c>
      <c r="L432" t="s">
        <v>20</v>
      </c>
      <c r="M432">
        <v>95</v>
      </c>
      <c r="N432" t="s">
        <v>21</v>
      </c>
      <c r="O432" t="s">
        <v>22</v>
      </c>
      <c r="P432" t="s">
        <v>23</v>
      </c>
    </row>
    <row r="433" spans="1:16" x14ac:dyDescent="0.3">
      <c r="A433" t="s">
        <v>1379</v>
      </c>
      <c r="B433" t="s">
        <v>1380</v>
      </c>
      <c r="C433" s="1">
        <v>45292</v>
      </c>
      <c r="D433" s="1">
        <v>45292</v>
      </c>
      <c r="E433">
        <v>250</v>
      </c>
      <c r="F433">
        <v>250</v>
      </c>
      <c r="G433">
        <v>0</v>
      </c>
      <c r="H433">
        <v>0</v>
      </c>
      <c r="I433" t="s">
        <v>108</v>
      </c>
      <c r="J433" t="s">
        <v>109</v>
      </c>
      <c r="K433" t="s">
        <v>19</v>
      </c>
      <c r="L433" t="s">
        <v>110</v>
      </c>
      <c r="M433">
        <v>100</v>
      </c>
      <c r="N433" t="s">
        <v>21</v>
      </c>
      <c r="O433" t="s">
        <v>22</v>
      </c>
      <c r="P433" t="s">
        <v>23</v>
      </c>
    </row>
    <row r="434" spans="1:16" x14ac:dyDescent="0.3">
      <c r="A434" t="s">
        <v>1381</v>
      </c>
      <c r="B434" t="s">
        <v>1382</v>
      </c>
      <c r="C434" s="1">
        <v>45292</v>
      </c>
      <c r="D434" s="1">
        <v>45292</v>
      </c>
      <c r="E434">
        <v>5000</v>
      </c>
      <c r="F434">
        <v>5000</v>
      </c>
      <c r="G434">
        <v>0</v>
      </c>
      <c r="H434">
        <v>0</v>
      </c>
      <c r="I434" t="s">
        <v>1383</v>
      </c>
      <c r="J434" t="s">
        <v>1384</v>
      </c>
      <c r="K434" t="s">
        <v>19</v>
      </c>
      <c r="L434" t="s">
        <v>20</v>
      </c>
      <c r="M434">
        <v>95</v>
      </c>
      <c r="N434" t="s">
        <v>21</v>
      </c>
      <c r="O434" t="s">
        <v>22</v>
      </c>
      <c r="P434" t="s">
        <v>23</v>
      </c>
    </row>
    <row r="435" spans="1:16" x14ac:dyDescent="0.3">
      <c r="A435" t="s">
        <v>1385</v>
      </c>
      <c r="B435" t="s">
        <v>1386</v>
      </c>
      <c r="C435" s="1">
        <v>45292</v>
      </c>
      <c r="D435" s="1">
        <v>45292</v>
      </c>
      <c r="E435">
        <v>900</v>
      </c>
      <c r="F435">
        <v>900</v>
      </c>
      <c r="G435">
        <v>0</v>
      </c>
      <c r="H435">
        <v>0</v>
      </c>
      <c r="I435" t="s">
        <v>89</v>
      </c>
      <c r="J435" t="s">
        <v>90</v>
      </c>
      <c r="K435" t="s">
        <v>19</v>
      </c>
      <c r="L435" t="s">
        <v>20</v>
      </c>
      <c r="M435">
        <v>95</v>
      </c>
      <c r="N435" t="s">
        <v>21</v>
      </c>
      <c r="O435" t="s">
        <v>22</v>
      </c>
      <c r="P435" t="s">
        <v>23</v>
      </c>
    </row>
    <row r="436" spans="1:16" x14ac:dyDescent="0.3">
      <c r="A436" t="s">
        <v>1387</v>
      </c>
      <c r="B436" t="s">
        <v>1388</v>
      </c>
      <c r="C436" s="1">
        <v>45292</v>
      </c>
      <c r="D436" s="1">
        <v>45292</v>
      </c>
      <c r="E436">
        <v>1720</v>
      </c>
      <c r="F436">
        <v>1720</v>
      </c>
      <c r="G436">
        <v>0</v>
      </c>
      <c r="H436">
        <v>0</v>
      </c>
      <c r="I436" t="s">
        <v>1389</v>
      </c>
      <c r="J436" t="s">
        <v>1390</v>
      </c>
      <c r="K436" t="s">
        <v>19</v>
      </c>
      <c r="L436" t="s">
        <v>20</v>
      </c>
      <c r="M436">
        <v>95</v>
      </c>
      <c r="N436" t="s">
        <v>21</v>
      </c>
      <c r="O436" t="s">
        <v>22</v>
      </c>
      <c r="P436" t="s">
        <v>23</v>
      </c>
    </row>
    <row r="437" spans="1:16" x14ac:dyDescent="0.3">
      <c r="A437" t="s">
        <v>1391</v>
      </c>
      <c r="B437" t="s">
        <v>1392</v>
      </c>
      <c r="C437" s="1">
        <v>45292</v>
      </c>
      <c r="D437" s="1">
        <v>45292</v>
      </c>
      <c r="E437">
        <v>120</v>
      </c>
      <c r="F437">
        <v>120</v>
      </c>
      <c r="G437">
        <v>0</v>
      </c>
      <c r="H437">
        <v>0</v>
      </c>
      <c r="I437" t="s">
        <v>1393</v>
      </c>
      <c r="J437" t="s">
        <v>1394</v>
      </c>
      <c r="K437" t="s">
        <v>19</v>
      </c>
      <c r="L437" t="s">
        <v>20</v>
      </c>
      <c r="M437">
        <v>95</v>
      </c>
      <c r="N437" t="s">
        <v>21</v>
      </c>
      <c r="O437" t="s">
        <v>22</v>
      </c>
      <c r="P437" t="s">
        <v>23</v>
      </c>
    </row>
    <row r="438" spans="1:16" x14ac:dyDescent="0.3">
      <c r="A438" t="s">
        <v>1395</v>
      </c>
      <c r="B438" t="s">
        <v>1396</v>
      </c>
      <c r="C438" s="1">
        <v>45292</v>
      </c>
      <c r="D438" s="1">
        <v>45292</v>
      </c>
      <c r="E438">
        <v>3375</v>
      </c>
      <c r="F438">
        <v>3375</v>
      </c>
      <c r="G438">
        <v>0</v>
      </c>
      <c r="H438">
        <v>0</v>
      </c>
      <c r="I438" t="s">
        <v>1397</v>
      </c>
      <c r="J438" t="s">
        <v>1398</v>
      </c>
      <c r="K438" t="s">
        <v>19</v>
      </c>
      <c r="L438" t="s">
        <v>20</v>
      </c>
      <c r="M438">
        <v>95</v>
      </c>
      <c r="N438" t="s">
        <v>21</v>
      </c>
      <c r="O438" t="s">
        <v>22</v>
      </c>
      <c r="P438" t="s">
        <v>23</v>
      </c>
    </row>
    <row r="439" spans="1:16" x14ac:dyDescent="0.3">
      <c r="A439" t="s">
        <v>1399</v>
      </c>
      <c r="B439" t="s">
        <v>1400</v>
      </c>
      <c r="C439" s="1">
        <v>45293</v>
      </c>
      <c r="D439" s="1">
        <v>45293</v>
      </c>
      <c r="E439">
        <v>500</v>
      </c>
      <c r="F439">
        <v>500</v>
      </c>
      <c r="G439">
        <v>0</v>
      </c>
      <c r="H439">
        <v>0</v>
      </c>
      <c r="I439" t="s">
        <v>1401</v>
      </c>
      <c r="J439" t="s">
        <v>1402</v>
      </c>
      <c r="K439" t="s">
        <v>19</v>
      </c>
      <c r="L439" t="s">
        <v>20</v>
      </c>
      <c r="M439">
        <v>95</v>
      </c>
      <c r="N439" t="s">
        <v>21</v>
      </c>
      <c r="O439" t="s">
        <v>22</v>
      </c>
      <c r="P439" t="s">
        <v>23</v>
      </c>
    </row>
    <row r="440" spans="1:16" x14ac:dyDescent="0.3">
      <c r="A440" t="s">
        <v>1403</v>
      </c>
      <c r="B440" t="s">
        <v>1404</v>
      </c>
      <c r="C440" s="1">
        <v>45293</v>
      </c>
      <c r="D440" s="1">
        <v>45293</v>
      </c>
      <c r="E440">
        <v>60</v>
      </c>
      <c r="F440">
        <v>60</v>
      </c>
      <c r="G440">
        <v>0</v>
      </c>
      <c r="H440">
        <v>0</v>
      </c>
      <c r="I440" t="s">
        <v>1405</v>
      </c>
      <c r="J440" t="s">
        <v>1406</v>
      </c>
      <c r="K440" t="s">
        <v>19</v>
      </c>
      <c r="L440" t="s">
        <v>20</v>
      </c>
      <c r="M440">
        <v>95</v>
      </c>
      <c r="N440" t="s">
        <v>21</v>
      </c>
      <c r="O440" t="s">
        <v>22</v>
      </c>
      <c r="P440" t="s">
        <v>23</v>
      </c>
    </row>
    <row r="441" spans="1:16" x14ac:dyDescent="0.3">
      <c r="A441" t="s">
        <v>1407</v>
      </c>
      <c r="B441" t="s">
        <v>1408</v>
      </c>
      <c r="C441" s="1">
        <v>45293</v>
      </c>
      <c r="D441" s="1">
        <v>45293</v>
      </c>
      <c r="E441">
        <v>250</v>
      </c>
      <c r="F441">
        <v>250</v>
      </c>
      <c r="G441">
        <v>0</v>
      </c>
      <c r="H441">
        <v>0</v>
      </c>
      <c r="I441" t="s">
        <v>1409</v>
      </c>
      <c r="J441" t="s">
        <v>1410</v>
      </c>
      <c r="K441" t="s">
        <v>19</v>
      </c>
      <c r="L441" t="s">
        <v>20</v>
      </c>
      <c r="M441">
        <v>95</v>
      </c>
      <c r="N441" t="s">
        <v>21</v>
      </c>
      <c r="O441" t="s">
        <v>22</v>
      </c>
      <c r="P441" t="s">
        <v>23</v>
      </c>
    </row>
    <row r="442" spans="1:16" x14ac:dyDescent="0.3">
      <c r="A442" t="s">
        <v>1411</v>
      </c>
      <c r="B442" t="s">
        <v>1412</v>
      </c>
      <c r="C442" s="1">
        <v>45294</v>
      </c>
      <c r="D442" s="1">
        <v>45294</v>
      </c>
      <c r="E442">
        <v>70</v>
      </c>
      <c r="F442">
        <v>70</v>
      </c>
      <c r="G442">
        <v>0</v>
      </c>
      <c r="H442">
        <v>0</v>
      </c>
      <c r="I442" t="s">
        <v>108</v>
      </c>
      <c r="J442" t="s">
        <v>109</v>
      </c>
      <c r="K442" t="s">
        <v>19</v>
      </c>
      <c r="L442" t="s">
        <v>110</v>
      </c>
      <c r="M442">
        <v>100</v>
      </c>
      <c r="N442" t="s">
        <v>21</v>
      </c>
      <c r="O442" t="s">
        <v>22</v>
      </c>
      <c r="P442" t="s">
        <v>23</v>
      </c>
    </row>
    <row r="443" spans="1:16" x14ac:dyDescent="0.3">
      <c r="A443" t="s">
        <v>1413</v>
      </c>
      <c r="B443" t="s">
        <v>1414</v>
      </c>
      <c r="C443" s="1">
        <v>45294</v>
      </c>
      <c r="D443" s="1">
        <v>45294</v>
      </c>
      <c r="E443">
        <v>20</v>
      </c>
      <c r="F443">
        <v>20</v>
      </c>
      <c r="G443">
        <v>0</v>
      </c>
      <c r="H443">
        <v>0</v>
      </c>
      <c r="I443" t="s">
        <v>1415</v>
      </c>
      <c r="J443" t="s">
        <v>1416</v>
      </c>
      <c r="K443" t="s">
        <v>19</v>
      </c>
      <c r="L443" t="s">
        <v>20</v>
      </c>
      <c r="M443">
        <v>95</v>
      </c>
      <c r="N443" t="s">
        <v>21</v>
      </c>
      <c r="O443" t="s">
        <v>22</v>
      </c>
      <c r="P443" t="s">
        <v>23</v>
      </c>
    </row>
    <row r="444" spans="1:16" x14ac:dyDescent="0.3">
      <c r="A444" t="s">
        <v>1417</v>
      </c>
      <c r="B444" t="s">
        <v>1418</v>
      </c>
      <c r="C444" s="1">
        <v>45295</v>
      </c>
      <c r="D444" s="1">
        <v>45295</v>
      </c>
      <c r="E444">
        <v>600</v>
      </c>
      <c r="F444">
        <v>600</v>
      </c>
      <c r="G444">
        <v>0</v>
      </c>
      <c r="H444">
        <v>0</v>
      </c>
      <c r="I444" t="s">
        <v>108</v>
      </c>
      <c r="J444" t="s">
        <v>109</v>
      </c>
      <c r="K444" t="s">
        <v>19</v>
      </c>
      <c r="L444" t="s">
        <v>110</v>
      </c>
      <c r="M444">
        <v>100</v>
      </c>
      <c r="N444" t="s">
        <v>21</v>
      </c>
      <c r="O444" t="s">
        <v>22</v>
      </c>
      <c r="P444" t="s">
        <v>23</v>
      </c>
    </row>
    <row r="445" spans="1:16" x14ac:dyDescent="0.3">
      <c r="A445" t="s">
        <v>1419</v>
      </c>
      <c r="B445" t="s">
        <v>1420</v>
      </c>
      <c r="C445" s="1">
        <v>45295</v>
      </c>
      <c r="D445" s="1">
        <v>45295</v>
      </c>
      <c r="E445">
        <v>1500</v>
      </c>
      <c r="F445">
        <v>1500</v>
      </c>
      <c r="G445">
        <v>0</v>
      </c>
      <c r="H445">
        <v>0</v>
      </c>
      <c r="I445" t="s">
        <v>81</v>
      </c>
      <c r="J445" t="s">
        <v>82</v>
      </c>
      <c r="K445" t="s">
        <v>19</v>
      </c>
      <c r="L445" t="s">
        <v>20</v>
      </c>
      <c r="M445">
        <v>95</v>
      </c>
      <c r="N445" t="s">
        <v>21</v>
      </c>
      <c r="O445" t="s">
        <v>22</v>
      </c>
      <c r="P445" t="s">
        <v>23</v>
      </c>
    </row>
    <row r="446" spans="1:16" x14ac:dyDescent="0.3">
      <c r="A446" t="s">
        <v>1421</v>
      </c>
      <c r="B446" t="s">
        <v>1422</v>
      </c>
      <c r="C446" s="1">
        <v>45295</v>
      </c>
      <c r="D446" s="1">
        <v>45295</v>
      </c>
      <c r="E446">
        <v>241</v>
      </c>
      <c r="F446">
        <v>241</v>
      </c>
      <c r="G446">
        <v>0</v>
      </c>
      <c r="H446">
        <v>0</v>
      </c>
      <c r="I446" t="s">
        <v>167</v>
      </c>
      <c r="J446" t="s">
        <v>168</v>
      </c>
      <c r="K446" t="s">
        <v>19</v>
      </c>
      <c r="L446" t="s">
        <v>20</v>
      </c>
      <c r="M446">
        <v>95</v>
      </c>
      <c r="N446" t="s">
        <v>21</v>
      </c>
      <c r="O446" t="s">
        <v>22</v>
      </c>
      <c r="P446" t="s">
        <v>23</v>
      </c>
    </row>
    <row r="447" spans="1:16" x14ac:dyDescent="0.3">
      <c r="A447" t="s">
        <v>1423</v>
      </c>
      <c r="B447" t="s">
        <v>1424</v>
      </c>
      <c r="C447" s="1">
        <v>45297</v>
      </c>
      <c r="D447" s="1">
        <v>45297</v>
      </c>
      <c r="E447">
        <v>550</v>
      </c>
      <c r="F447">
        <v>550</v>
      </c>
      <c r="G447">
        <v>0</v>
      </c>
      <c r="H447">
        <v>0</v>
      </c>
      <c r="I447" t="s">
        <v>108</v>
      </c>
      <c r="J447" t="s">
        <v>109</v>
      </c>
      <c r="K447" t="s">
        <v>19</v>
      </c>
      <c r="L447" t="s">
        <v>110</v>
      </c>
      <c r="M447">
        <v>100</v>
      </c>
      <c r="N447" t="s">
        <v>21</v>
      </c>
      <c r="O447" t="s">
        <v>22</v>
      </c>
      <c r="P447" t="s">
        <v>23</v>
      </c>
    </row>
    <row r="448" spans="1:16" x14ac:dyDescent="0.3">
      <c r="A448" t="s">
        <v>1425</v>
      </c>
      <c r="B448" t="s">
        <v>1426</v>
      </c>
      <c r="C448" s="1">
        <v>45297</v>
      </c>
      <c r="D448" s="1">
        <v>45297</v>
      </c>
      <c r="E448">
        <v>1500</v>
      </c>
      <c r="F448">
        <v>1500</v>
      </c>
      <c r="G448">
        <v>0</v>
      </c>
      <c r="H448">
        <v>0</v>
      </c>
      <c r="I448" t="s">
        <v>895</v>
      </c>
      <c r="J448" t="s">
        <v>896</v>
      </c>
      <c r="K448" t="s">
        <v>19</v>
      </c>
      <c r="L448" t="s">
        <v>20</v>
      </c>
      <c r="M448">
        <v>95</v>
      </c>
      <c r="N448" t="s">
        <v>21</v>
      </c>
      <c r="O448" t="s">
        <v>22</v>
      </c>
      <c r="P448" t="s">
        <v>23</v>
      </c>
    </row>
    <row r="449" spans="1:16" x14ac:dyDescent="0.3">
      <c r="A449" t="s">
        <v>1427</v>
      </c>
      <c r="B449" t="s">
        <v>1428</v>
      </c>
      <c r="C449" s="1">
        <v>45299</v>
      </c>
      <c r="D449" s="1">
        <v>45299</v>
      </c>
      <c r="E449">
        <v>2100</v>
      </c>
      <c r="F449">
        <v>2100</v>
      </c>
      <c r="G449">
        <v>0</v>
      </c>
      <c r="H449">
        <v>0</v>
      </c>
      <c r="I449" t="s">
        <v>108</v>
      </c>
      <c r="J449" t="s">
        <v>109</v>
      </c>
      <c r="K449" t="s">
        <v>19</v>
      </c>
      <c r="L449" t="s">
        <v>110</v>
      </c>
      <c r="M449">
        <v>100</v>
      </c>
      <c r="N449" t="s">
        <v>21</v>
      </c>
      <c r="O449" t="s">
        <v>22</v>
      </c>
      <c r="P449" t="s">
        <v>23</v>
      </c>
    </row>
    <row r="450" spans="1:16" x14ac:dyDescent="0.3">
      <c r="A450" t="s">
        <v>1429</v>
      </c>
      <c r="B450" t="s">
        <v>1430</v>
      </c>
      <c r="C450" s="1">
        <v>45299</v>
      </c>
      <c r="D450" s="1">
        <v>45299</v>
      </c>
      <c r="E450">
        <v>500</v>
      </c>
      <c r="F450">
        <v>500</v>
      </c>
      <c r="G450">
        <v>0</v>
      </c>
      <c r="H450">
        <v>0</v>
      </c>
      <c r="I450" t="s">
        <v>1431</v>
      </c>
      <c r="J450" t="s">
        <v>1432</v>
      </c>
      <c r="K450" t="s">
        <v>91</v>
      </c>
      <c r="L450" t="s">
        <v>92</v>
      </c>
      <c r="M450">
        <v>85</v>
      </c>
      <c r="N450" t="s">
        <v>93</v>
      </c>
      <c r="O450" t="s">
        <v>22</v>
      </c>
      <c r="P450" t="s">
        <v>23</v>
      </c>
    </row>
    <row r="451" spans="1:16" x14ac:dyDescent="0.3">
      <c r="A451" t="s">
        <v>1433</v>
      </c>
      <c r="B451" t="s">
        <v>1434</v>
      </c>
      <c r="C451" s="1">
        <v>45299</v>
      </c>
      <c r="D451" s="1">
        <v>45299</v>
      </c>
      <c r="E451">
        <v>500</v>
      </c>
      <c r="F451">
        <v>500</v>
      </c>
      <c r="G451">
        <v>0</v>
      </c>
      <c r="H451">
        <v>0</v>
      </c>
      <c r="I451" t="s">
        <v>1435</v>
      </c>
      <c r="J451" t="s">
        <v>1436</v>
      </c>
      <c r="K451" t="s">
        <v>19</v>
      </c>
      <c r="L451" t="s">
        <v>20</v>
      </c>
      <c r="M451">
        <v>95</v>
      </c>
      <c r="N451" t="s">
        <v>21</v>
      </c>
      <c r="O451" t="s">
        <v>22</v>
      </c>
      <c r="P451" t="s">
        <v>23</v>
      </c>
    </row>
    <row r="452" spans="1:16" x14ac:dyDescent="0.3">
      <c r="A452" t="s">
        <v>1437</v>
      </c>
      <c r="B452" t="s">
        <v>1438</v>
      </c>
      <c r="C452" s="1">
        <v>45299</v>
      </c>
      <c r="D452" s="1">
        <v>45299</v>
      </c>
      <c r="E452">
        <v>200</v>
      </c>
      <c r="F452">
        <v>200</v>
      </c>
      <c r="G452">
        <v>0</v>
      </c>
      <c r="H452">
        <v>0</v>
      </c>
      <c r="I452" t="s">
        <v>1439</v>
      </c>
      <c r="J452" t="s">
        <v>1440</v>
      </c>
      <c r="K452" t="s">
        <v>19</v>
      </c>
      <c r="L452" t="s">
        <v>20</v>
      </c>
      <c r="M452">
        <v>95</v>
      </c>
      <c r="N452" t="s">
        <v>21</v>
      </c>
      <c r="O452" t="s">
        <v>22</v>
      </c>
      <c r="P452" t="s">
        <v>23</v>
      </c>
    </row>
    <row r="453" spans="1:16" x14ac:dyDescent="0.3">
      <c r="A453" t="s">
        <v>1441</v>
      </c>
      <c r="B453" t="s">
        <v>1442</v>
      </c>
      <c r="C453" s="1">
        <v>45300</v>
      </c>
      <c r="D453" s="1">
        <v>45300</v>
      </c>
      <c r="E453">
        <v>241</v>
      </c>
      <c r="F453">
        <v>240.9</v>
      </c>
      <c r="G453">
        <v>0</v>
      </c>
      <c r="H453">
        <v>0</v>
      </c>
      <c r="I453" t="s">
        <v>719</v>
      </c>
      <c r="J453" t="s">
        <v>720</v>
      </c>
      <c r="K453" t="s">
        <v>19</v>
      </c>
      <c r="L453" t="s">
        <v>20</v>
      </c>
      <c r="M453">
        <v>95</v>
      </c>
      <c r="N453" t="s">
        <v>21</v>
      </c>
      <c r="O453" t="s">
        <v>22</v>
      </c>
      <c r="P453" t="s">
        <v>23</v>
      </c>
    </row>
    <row r="454" spans="1:16" x14ac:dyDescent="0.3">
      <c r="A454" t="s">
        <v>1443</v>
      </c>
      <c r="B454" t="s">
        <v>1444</v>
      </c>
      <c r="C454" s="1">
        <v>45300</v>
      </c>
      <c r="D454" s="1">
        <v>45300</v>
      </c>
      <c r="E454">
        <v>15</v>
      </c>
      <c r="F454">
        <v>15</v>
      </c>
      <c r="G454">
        <v>0</v>
      </c>
      <c r="H454">
        <v>0</v>
      </c>
      <c r="I454" t="s">
        <v>536</v>
      </c>
      <c r="J454" t="s">
        <v>537</v>
      </c>
      <c r="K454" t="s">
        <v>19</v>
      </c>
      <c r="L454" t="s">
        <v>20</v>
      </c>
      <c r="M454">
        <v>95</v>
      </c>
      <c r="N454" t="s">
        <v>21</v>
      </c>
      <c r="O454" t="s">
        <v>22</v>
      </c>
      <c r="P454" t="s">
        <v>23</v>
      </c>
    </row>
    <row r="455" spans="1:16" x14ac:dyDescent="0.3">
      <c r="A455" t="s">
        <v>1445</v>
      </c>
      <c r="B455" t="s">
        <v>1446</v>
      </c>
      <c r="C455" s="1">
        <v>45300</v>
      </c>
      <c r="D455" s="1">
        <v>45300</v>
      </c>
      <c r="E455">
        <v>300</v>
      </c>
      <c r="F455">
        <v>300</v>
      </c>
      <c r="G455">
        <v>0</v>
      </c>
      <c r="H455">
        <v>0</v>
      </c>
      <c r="I455" t="s">
        <v>358</v>
      </c>
      <c r="J455" t="s">
        <v>359</v>
      </c>
      <c r="K455" t="s">
        <v>19</v>
      </c>
      <c r="L455" t="s">
        <v>20</v>
      </c>
      <c r="M455">
        <v>95</v>
      </c>
      <c r="N455" t="s">
        <v>21</v>
      </c>
      <c r="O455" t="s">
        <v>22</v>
      </c>
      <c r="P455" t="s">
        <v>23</v>
      </c>
    </row>
    <row r="456" spans="1:16" x14ac:dyDescent="0.3">
      <c r="A456" t="s">
        <v>1447</v>
      </c>
      <c r="B456" t="s">
        <v>1448</v>
      </c>
      <c r="C456" s="1">
        <v>45301</v>
      </c>
      <c r="D456" s="1">
        <v>45301</v>
      </c>
      <c r="E456">
        <v>790</v>
      </c>
      <c r="F456">
        <v>790</v>
      </c>
      <c r="G456">
        <v>0</v>
      </c>
      <c r="H456">
        <v>0</v>
      </c>
      <c r="I456" t="s">
        <v>108</v>
      </c>
      <c r="J456" t="s">
        <v>109</v>
      </c>
      <c r="K456" t="s">
        <v>19</v>
      </c>
      <c r="L456" t="s">
        <v>110</v>
      </c>
      <c r="M456">
        <v>100</v>
      </c>
      <c r="N456" t="s">
        <v>21</v>
      </c>
      <c r="O456" t="s">
        <v>22</v>
      </c>
      <c r="P456" t="s">
        <v>23</v>
      </c>
    </row>
    <row r="457" spans="1:16" x14ac:dyDescent="0.3">
      <c r="A457" t="s">
        <v>1449</v>
      </c>
      <c r="B457" t="s">
        <v>1450</v>
      </c>
      <c r="C457" s="1">
        <v>45301</v>
      </c>
      <c r="D457" s="1">
        <v>45301</v>
      </c>
      <c r="E457">
        <v>500</v>
      </c>
      <c r="F457">
        <v>500</v>
      </c>
      <c r="G457">
        <v>0</v>
      </c>
      <c r="H457">
        <v>0</v>
      </c>
      <c r="I457" t="s">
        <v>1451</v>
      </c>
      <c r="J457" t="s">
        <v>1452</v>
      </c>
      <c r="K457" t="s">
        <v>19</v>
      </c>
      <c r="L457" t="s">
        <v>20</v>
      </c>
      <c r="M457">
        <v>95</v>
      </c>
      <c r="N457" t="s">
        <v>21</v>
      </c>
      <c r="O457" t="s">
        <v>22</v>
      </c>
      <c r="P457" t="s">
        <v>23</v>
      </c>
    </row>
    <row r="458" spans="1:16" x14ac:dyDescent="0.3">
      <c r="A458" t="s">
        <v>1453</v>
      </c>
      <c r="B458" t="s">
        <v>1454</v>
      </c>
      <c r="C458" s="1">
        <v>45301</v>
      </c>
      <c r="D458" s="1">
        <v>45301</v>
      </c>
      <c r="E458">
        <v>140</v>
      </c>
      <c r="F458">
        <v>140</v>
      </c>
      <c r="G458">
        <v>0</v>
      </c>
      <c r="H458">
        <v>0</v>
      </c>
      <c r="I458" t="s">
        <v>1455</v>
      </c>
      <c r="J458" t="s">
        <v>1456</v>
      </c>
      <c r="K458" t="s">
        <v>19</v>
      </c>
      <c r="L458" t="s">
        <v>20</v>
      </c>
      <c r="M458">
        <v>95</v>
      </c>
      <c r="N458" t="s">
        <v>21</v>
      </c>
      <c r="O458" t="s">
        <v>22</v>
      </c>
      <c r="P458" t="s">
        <v>23</v>
      </c>
    </row>
    <row r="459" spans="1:16" x14ac:dyDescent="0.3">
      <c r="A459" t="s">
        <v>1457</v>
      </c>
      <c r="B459" t="s">
        <v>1458</v>
      </c>
      <c r="C459" s="1">
        <v>45301</v>
      </c>
      <c r="D459" s="1">
        <v>45301</v>
      </c>
      <c r="E459">
        <v>1</v>
      </c>
      <c r="F459">
        <v>1</v>
      </c>
      <c r="G459">
        <v>0</v>
      </c>
      <c r="H459">
        <v>0</v>
      </c>
      <c r="I459" t="s">
        <v>1459</v>
      </c>
      <c r="J459" t="s">
        <v>1460</v>
      </c>
      <c r="K459" t="s">
        <v>19</v>
      </c>
      <c r="L459" t="s">
        <v>20</v>
      </c>
      <c r="M459">
        <v>95</v>
      </c>
      <c r="N459" t="s">
        <v>21</v>
      </c>
      <c r="O459" t="s">
        <v>22</v>
      </c>
      <c r="P459" t="s">
        <v>23</v>
      </c>
    </row>
    <row r="460" spans="1:16" x14ac:dyDescent="0.3">
      <c r="A460" t="s">
        <v>1461</v>
      </c>
      <c r="B460" t="s">
        <v>1462</v>
      </c>
      <c r="C460" s="1">
        <v>45301</v>
      </c>
      <c r="D460" s="1">
        <v>45301</v>
      </c>
      <c r="E460">
        <v>1999</v>
      </c>
      <c r="F460">
        <v>1999</v>
      </c>
      <c r="G460">
        <v>0</v>
      </c>
      <c r="H460">
        <v>0</v>
      </c>
      <c r="I460" t="s">
        <v>1459</v>
      </c>
      <c r="J460" t="s">
        <v>1460</v>
      </c>
      <c r="K460" t="s">
        <v>19</v>
      </c>
      <c r="L460" t="s">
        <v>20</v>
      </c>
      <c r="M460">
        <v>95</v>
      </c>
      <c r="N460" t="s">
        <v>21</v>
      </c>
      <c r="O460" t="s">
        <v>22</v>
      </c>
      <c r="P460" t="s">
        <v>23</v>
      </c>
    </row>
    <row r="461" spans="1:16" x14ac:dyDescent="0.3">
      <c r="A461" t="s">
        <v>1463</v>
      </c>
      <c r="B461" t="s">
        <v>1464</v>
      </c>
      <c r="C461" s="1">
        <v>45302</v>
      </c>
      <c r="D461" s="1">
        <v>45302</v>
      </c>
      <c r="E461">
        <v>1000</v>
      </c>
      <c r="F461">
        <v>1000</v>
      </c>
      <c r="G461">
        <v>0</v>
      </c>
      <c r="H461">
        <v>0</v>
      </c>
      <c r="I461" t="s">
        <v>1465</v>
      </c>
      <c r="J461" t="s">
        <v>1466</v>
      </c>
      <c r="K461" t="s">
        <v>19</v>
      </c>
      <c r="L461" t="s">
        <v>20</v>
      </c>
      <c r="M461">
        <v>95</v>
      </c>
      <c r="N461" t="s">
        <v>21</v>
      </c>
      <c r="O461" t="s">
        <v>22</v>
      </c>
      <c r="P461" t="s">
        <v>23</v>
      </c>
    </row>
    <row r="462" spans="1:16" x14ac:dyDescent="0.3">
      <c r="A462" t="s">
        <v>1467</v>
      </c>
      <c r="B462" t="s">
        <v>1468</v>
      </c>
      <c r="C462" s="1">
        <v>45303</v>
      </c>
      <c r="D462" s="1">
        <v>45303</v>
      </c>
      <c r="E462">
        <v>470</v>
      </c>
      <c r="F462">
        <v>470</v>
      </c>
      <c r="G462">
        <v>0</v>
      </c>
      <c r="H462">
        <v>0</v>
      </c>
      <c r="I462" t="s">
        <v>108</v>
      </c>
      <c r="J462" t="s">
        <v>109</v>
      </c>
      <c r="K462" t="s">
        <v>19</v>
      </c>
      <c r="L462" t="s">
        <v>110</v>
      </c>
      <c r="M462">
        <v>100</v>
      </c>
      <c r="N462" t="s">
        <v>21</v>
      </c>
      <c r="O462" t="s">
        <v>22</v>
      </c>
      <c r="P462" t="s">
        <v>23</v>
      </c>
    </row>
    <row r="463" spans="1:16" x14ac:dyDescent="0.3">
      <c r="A463" t="s">
        <v>1469</v>
      </c>
      <c r="B463" t="s">
        <v>1470</v>
      </c>
      <c r="C463" s="1">
        <v>45303</v>
      </c>
      <c r="D463" s="1">
        <v>45303</v>
      </c>
      <c r="E463">
        <v>110</v>
      </c>
      <c r="F463">
        <v>110</v>
      </c>
      <c r="G463">
        <v>0</v>
      </c>
      <c r="H463">
        <v>0</v>
      </c>
      <c r="I463" t="s">
        <v>1471</v>
      </c>
      <c r="J463" t="s">
        <v>1472</v>
      </c>
      <c r="K463" t="s">
        <v>19</v>
      </c>
      <c r="L463" t="s">
        <v>20</v>
      </c>
      <c r="M463">
        <v>95</v>
      </c>
      <c r="N463" t="s">
        <v>21</v>
      </c>
      <c r="O463" t="s">
        <v>22</v>
      </c>
      <c r="P463" t="s">
        <v>23</v>
      </c>
    </row>
    <row r="464" spans="1:16" x14ac:dyDescent="0.3">
      <c r="A464" t="s">
        <v>1473</v>
      </c>
      <c r="B464" t="s">
        <v>1474</v>
      </c>
      <c r="C464" s="1">
        <v>45303</v>
      </c>
      <c r="D464" s="1">
        <v>45303</v>
      </c>
      <c r="E464">
        <v>690</v>
      </c>
      <c r="F464">
        <v>724.5</v>
      </c>
      <c r="G464">
        <v>34.5</v>
      </c>
      <c r="H464">
        <v>0</v>
      </c>
      <c r="I464" t="s">
        <v>89</v>
      </c>
      <c r="J464" t="s">
        <v>90</v>
      </c>
      <c r="K464" t="s">
        <v>278</v>
      </c>
      <c r="L464" t="s">
        <v>1475</v>
      </c>
      <c r="M464">
        <v>80</v>
      </c>
      <c r="N464" t="s">
        <v>93</v>
      </c>
      <c r="O464" t="s">
        <v>22</v>
      </c>
      <c r="P464" t="s">
        <v>23</v>
      </c>
    </row>
    <row r="465" spans="1:16" x14ac:dyDescent="0.3">
      <c r="A465" t="s">
        <v>1476</v>
      </c>
      <c r="B465" t="s">
        <v>1477</v>
      </c>
      <c r="C465" s="1">
        <v>45303</v>
      </c>
      <c r="D465" s="1">
        <v>45303</v>
      </c>
      <c r="E465">
        <v>220</v>
      </c>
      <c r="F465">
        <v>220</v>
      </c>
      <c r="G465">
        <v>0</v>
      </c>
      <c r="H465">
        <v>0</v>
      </c>
      <c r="I465" t="s">
        <v>1478</v>
      </c>
      <c r="J465" t="s">
        <v>1479</v>
      </c>
      <c r="K465" t="s">
        <v>19</v>
      </c>
      <c r="L465" t="s">
        <v>20</v>
      </c>
      <c r="M465">
        <v>95</v>
      </c>
      <c r="N465" t="s">
        <v>21</v>
      </c>
      <c r="O465" t="s">
        <v>22</v>
      </c>
      <c r="P465" t="s">
        <v>23</v>
      </c>
    </row>
    <row r="466" spans="1:16" x14ac:dyDescent="0.3">
      <c r="A466" t="s">
        <v>1480</v>
      </c>
      <c r="B466" t="s">
        <v>1481</v>
      </c>
      <c r="C466" s="1">
        <v>45304</v>
      </c>
      <c r="D466" s="1">
        <v>45304</v>
      </c>
      <c r="E466">
        <v>500</v>
      </c>
      <c r="F466">
        <v>500</v>
      </c>
      <c r="G466">
        <v>0</v>
      </c>
      <c r="H466">
        <v>0</v>
      </c>
      <c r="I466" t="s">
        <v>1482</v>
      </c>
      <c r="J466" t="s">
        <v>1483</v>
      </c>
      <c r="K466" t="s">
        <v>19</v>
      </c>
      <c r="L466" t="s">
        <v>20</v>
      </c>
      <c r="M466">
        <v>95</v>
      </c>
      <c r="N466" t="s">
        <v>21</v>
      </c>
      <c r="O466" t="s">
        <v>22</v>
      </c>
      <c r="P466" t="s">
        <v>23</v>
      </c>
    </row>
    <row r="467" spans="1:16" x14ac:dyDescent="0.3">
      <c r="A467" t="s">
        <v>1484</v>
      </c>
      <c r="B467" t="s">
        <v>1485</v>
      </c>
      <c r="C467" s="1">
        <v>45304</v>
      </c>
      <c r="D467" s="1">
        <v>45304</v>
      </c>
      <c r="E467">
        <v>350</v>
      </c>
      <c r="F467">
        <v>350</v>
      </c>
      <c r="G467">
        <v>0</v>
      </c>
      <c r="H467">
        <v>0</v>
      </c>
      <c r="I467" t="s">
        <v>96</v>
      </c>
      <c r="J467" t="s">
        <v>97</v>
      </c>
      <c r="K467" t="s">
        <v>19</v>
      </c>
      <c r="L467" t="s">
        <v>20</v>
      </c>
      <c r="M467">
        <v>95</v>
      </c>
      <c r="N467" t="s">
        <v>21</v>
      </c>
      <c r="O467" t="s">
        <v>22</v>
      </c>
      <c r="P467" t="s">
        <v>23</v>
      </c>
    </row>
    <row r="468" spans="1:16" x14ac:dyDescent="0.3">
      <c r="A468" t="s">
        <v>1486</v>
      </c>
      <c r="B468" t="s">
        <v>1487</v>
      </c>
      <c r="C468" s="1">
        <v>45304</v>
      </c>
      <c r="D468" s="1">
        <v>45304</v>
      </c>
      <c r="E468">
        <v>100</v>
      </c>
      <c r="F468">
        <v>100</v>
      </c>
      <c r="G468">
        <v>0</v>
      </c>
      <c r="H468">
        <v>0</v>
      </c>
      <c r="I468" t="s">
        <v>1488</v>
      </c>
      <c r="J468" t="s">
        <v>1489</v>
      </c>
      <c r="K468" t="s">
        <v>19</v>
      </c>
      <c r="L468" t="s">
        <v>20</v>
      </c>
      <c r="M468">
        <v>95</v>
      </c>
      <c r="N468" t="s">
        <v>21</v>
      </c>
      <c r="O468" t="s">
        <v>22</v>
      </c>
      <c r="P468" t="s">
        <v>23</v>
      </c>
    </row>
    <row r="469" spans="1:16" x14ac:dyDescent="0.3">
      <c r="A469" t="s">
        <v>1490</v>
      </c>
      <c r="B469" t="s">
        <v>1491</v>
      </c>
      <c r="C469" s="1">
        <v>45305</v>
      </c>
      <c r="D469" s="1">
        <v>45305</v>
      </c>
      <c r="E469">
        <v>290</v>
      </c>
      <c r="F469">
        <v>290</v>
      </c>
      <c r="G469">
        <v>0</v>
      </c>
      <c r="H469">
        <v>0</v>
      </c>
      <c r="I469" t="s">
        <v>108</v>
      </c>
      <c r="J469" t="s">
        <v>109</v>
      </c>
      <c r="K469" t="s">
        <v>19</v>
      </c>
      <c r="L469" t="s">
        <v>110</v>
      </c>
      <c r="M469">
        <v>100</v>
      </c>
      <c r="N469" t="s">
        <v>21</v>
      </c>
      <c r="O469" t="s">
        <v>22</v>
      </c>
      <c r="P469" t="s">
        <v>23</v>
      </c>
    </row>
    <row r="470" spans="1:16" x14ac:dyDescent="0.3">
      <c r="A470" t="s">
        <v>1492</v>
      </c>
      <c r="B470" t="s">
        <v>1493</v>
      </c>
      <c r="C470" s="1">
        <v>45305</v>
      </c>
      <c r="D470" s="1">
        <v>45319</v>
      </c>
      <c r="E470">
        <v>15</v>
      </c>
      <c r="F470">
        <v>15</v>
      </c>
      <c r="G470">
        <v>0</v>
      </c>
      <c r="H470">
        <v>14</v>
      </c>
      <c r="I470" t="s">
        <v>772</v>
      </c>
      <c r="J470" t="s">
        <v>773</v>
      </c>
      <c r="K470" t="s">
        <v>91</v>
      </c>
      <c r="L470" t="s">
        <v>1494</v>
      </c>
      <c r="M470">
        <v>60</v>
      </c>
      <c r="N470" t="s">
        <v>164</v>
      </c>
      <c r="O470" t="s">
        <v>22</v>
      </c>
      <c r="P470" t="s">
        <v>23</v>
      </c>
    </row>
    <row r="471" spans="1:16" x14ac:dyDescent="0.3">
      <c r="A471" t="s">
        <v>1495</v>
      </c>
      <c r="B471" t="s">
        <v>1496</v>
      </c>
      <c r="C471" s="1">
        <v>45306</v>
      </c>
      <c r="D471" s="1">
        <v>45306</v>
      </c>
      <c r="E471">
        <v>110</v>
      </c>
      <c r="F471">
        <v>110</v>
      </c>
      <c r="G471">
        <v>0</v>
      </c>
      <c r="H471">
        <v>0</v>
      </c>
      <c r="I471" t="s">
        <v>1497</v>
      </c>
      <c r="J471" t="s">
        <v>1498</v>
      </c>
      <c r="K471" t="s">
        <v>19</v>
      </c>
      <c r="L471" t="s">
        <v>20</v>
      </c>
      <c r="M471">
        <v>95</v>
      </c>
      <c r="N471" t="s">
        <v>21</v>
      </c>
      <c r="O471" t="s">
        <v>22</v>
      </c>
      <c r="P471" t="s">
        <v>23</v>
      </c>
    </row>
    <row r="472" spans="1:16" x14ac:dyDescent="0.3">
      <c r="A472" t="s">
        <v>1499</v>
      </c>
      <c r="B472" t="s">
        <v>1500</v>
      </c>
      <c r="C472" s="1">
        <v>45306</v>
      </c>
      <c r="D472" s="1">
        <v>45306</v>
      </c>
      <c r="E472">
        <v>80</v>
      </c>
      <c r="F472">
        <v>80</v>
      </c>
      <c r="G472">
        <v>0</v>
      </c>
      <c r="H472">
        <v>0</v>
      </c>
      <c r="I472" t="s">
        <v>1501</v>
      </c>
      <c r="J472" t="s">
        <v>1502</v>
      </c>
      <c r="K472" t="s">
        <v>19</v>
      </c>
      <c r="L472" t="s">
        <v>20</v>
      </c>
      <c r="M472">
        <v>95</v>
      </c>
      <c r="N472" t="s">
        <v>21</v>
      </c>
      <c r="O472" t="s">
        <v>22</v>
      </c>
      <c r="P472" t="s">
        <v>23</v>
      </c>
    </row>
    <row r="473" spans="1:16" x14ac:dyDescent="0.3">
      <c r="A473" t="s">
        <v>1503</v>
      </c>
      <c r="B473" t="s">
        <v>1504</v>
      </c>
      <c r="C473" s="1">
        <v>45307</v>
      </c>
      <c r="D473" s="1">
        <v>45402</v>
      </c>
      <c r="E473">
        <v>1500</v>
      </c>
      <c r="F473">
        <v>1450</v>
      </c>
      <c r="G473">
        <v>-50</v>
      </c>
      <c r="H473">
        <v>95</v>
      </c>
      <c r="I473" t="s">
        <v>108</v>
      </c>
      <c r="J473" t="s">
        <v>109</v>
      </c>
      <c r="K473" t="s">
        <v>278</v>
      </c>
      <c r="L473" t="s">
        <v>1505</v>
      </c>
      <c r="M473">
        <v>80</v>
      </c>
      <c r="N473" t="s">
        <v>93</v>
      </c>
      <c r="O473" t="s">
        <v>22</v>
      </c>
      <c r="P473" t="s">
        <v>23</v>
      </c>
    </row>
    <row r="474" spans="1:16" x14ac:dyDescent="0.3">
      <c r="A474" t="s">
        <v>1506</v>
      </c>
      <c r="B474" t="s">
        <v>1507</v>
      </c>
      <c r="C474" s="1">
        <v>45307</v>
      </c>
      <c r="D474" s="1">
        <v>45307</v>
      </c>
      <c r="E474">
        <v>10</v>
      </c>
      <c r="F474">
        <v>10</v>
      </c>
      <c r="G474">
        <v>0</v>
      </c>
      <c r="H474">
        <v>0</v>
      </c>
      <c r="I474" t="s">
        <v>1508</v>
      </c>
      <c r="J474" t="s">
        <v>1509</v>
      </c>
      <c r="K474" t="s">
        <v>19</v>
      </c>
      <c r="L474" t="s">
        <v>20</v>
      </c>
      <c r="M474">
        <v>95</v>
      </c>
      <c r="N474" t="s">
        <v>21</v>
      </c>
      <c r="O474" t="s">
        <v>22</v>
      </c>
      <c r="P474" t="s">
        <v>23</v>
      </c>
    </row>
    <row r="475" spans="1:16" x14ac:dyDescent="0.3">
      <c r="A475" t="s">
        <v>1510</v>
      </c>
      <c r="B475" t="s">
        <v>1511</v>
      </c>
      <c r="C475" s="1">
        <v>45307</v>
      </c>
      <c r="D475" s="1">
        <v>45307</v>
      </c>
      <c r="E475">
        <v>150</v>
      </c>
      <c r="F475">
        <v>150</v>
      </c>
      <c r="G475">
        <v>0</v>
      </c>
      <c r="H475">
        <v>0</v>
      </c>
      <c r="I475" t="s">
        <v>1512</v>
      </c>
      <c r="J475" t="s">
        <v>1513</v>
      </c>
      <c r="K475" t="s">
        <v>19</v>
      </c>
      <c r="L475" t="s">
        <v>20</v>
      </c>
      <c r="M475">
        <v>95</v>
      </c>
      <c r="N475" t="s">
        <v>21</v>
      </c>
      <c r="O475" t="s">
        <v>22</v>
      </c>
      <c r="P475" t="s">
        <v>23</v>
      </c>
    </row>
    <row r="476" spans="1:16" x14ac:dyDescent="0.3">
      <c r="A476" t="s">
        <v>1514</v>
      </c>
      <c r="B476" t="s">
        <v>1515</v>
      </c>
      <c r="C476" s="1">
        <v>45308</v>
      </c>
      <c r="D476" s="1">
        <v>45308</v>
      </c>
      <c r="E476">
        <v>10</v>
      </c>
      <c r="F476">
        <v>10</v>
      </c>
      <c r="G476">
        <v>0</v>
      </c>
      <c r="H476">
        <v>0</v>
      </c>
      <c r="I476" t="s">
        <v>358</v>
      </c>
      <c r="J476" t="s">
        <v>359</v>
      </c>
      <c r="K476" t="s">
        <v>91</v>
      </c>
      <c r="L476" t="s">
        <v>92</v>
      </c>
      <c r="M476">
        <v>85</v>
      </c>
      <c r="N476" t="s">
        <v>93</v>
      </c>
      <c r="O476" t="s">
        <v>22</v>
      </c>
      <c r="P476" t="s">
        <v>23</v>
      </c>
    </row>
    <row r="477" spans="1:16" x14ac:dyDescent="0.3">
      <c r="A477" t="s">
        <v>1516</v>
      </c>
      <c r="B477" t="s">
        <v>1517</v>
      </c>
      <c r="C477" s="1">
        <v>45308</v>
      </c>
      <c r="D477" s="1">
        <v>45308</v>
      </c>
      <c r="E477">
        <v>10</v>
      </c>
      <c r="F477">
        <v>10</v>
      </c>
      <c r="G477">
        <v>0</v>
      </c>
      <c r="H477">
        <v>0</v>
      </c>
      <c r="I477" t="s">
        <v>1518</v>
      </c>
      <c r="J477" t="s">
        <v>1519</v>
      </c>
      <c r="K477" t="s">
        <v>19</v>
      </c>
      <c r="L477" t="s">
        <v>20</v>
      </c>
      <c r="M477">
        <v>95</v>
      </c>
      <c r="N477" t="s">
        <v>21</v>
      </c>
      <c r="O477" t="s">
        <v>22</v>
      </c>
      <c r="P477" t="s">
        <v>23</v>
      </c>
    </row>
    <row r="478" spans="1:16" x14ac:dyDescent="0.3">
      <c r="A478" t="s">
        <v>1520</v>
      </c>
      <c r="B478" t="s">
        <v>1521</v>
      </c>
      <c r="C478" s="1">
        <v>45309</v>
      </c>
      <c r="D478" s="1">
        <v>45309</v>
      </c>
      <c r="E478">
        <v>300</v>
      </c>
      <c r="F478">
        <v>300</v>
      </c>
      <c r="G478">
        <v>0</v>
      </c>
      <c r="H478">
        <v>0</v>
      </c>
      <c r="I478" t="s">
        <v>1522</v>
      </c>
      <c r="J478" t="s">
        <v>1523</v>
      </c>
      <c r="K478" t="s">
        <v>19</v>
      </c>
      <c r="L478" t="s">
        <v>20</v>
      </c>
      <c r="M478">
        <v>95</v>
      </c>
      <c r="N478" t="s">
        <v>21</v>
      </c>
      <c r="O478" t="s">
        <v>22</v>
      </c>
      <c r="P478" t="s">
        <v>23</v>
      </c>
    </row>
    <row r="479" spans="1:16" x14ac:dyDescent="0.3">
      <c r="A479" t="s">
        <v>1524</v>
      </c>
      <c r="B479" t="s">
        <v>1525</v>
      </c>
      <c r="C479" s="1">
        <v>45309</v>
      </c>
      <c r="D479" s="1">
        <v>45309</v>
      </c>
      <c r="E479">
        <v>15</v>
      </c>
      <c r="F479">
        <v>15</v>
      </c>
      <c r="G479">
        <v>0</v>
      </c>
      <c r="H479">
        <v>0</v>
      </c>
      <c r="I479" t="s">
        <v>1526</v>
      </c>
      <c r="J479" t="s">
        <v>1527</v>
      </c>
      <c r="K479" t="s">
        <v>19</v>
      </c>
      <c r="L479" t="s">
        <v>20</v>
      </c>
      <c r="M479">
        <v>95</v>
      </c>
      <c r="N479" t="s">
        <v>21</v>
      </c>
      <c r="O479" t="s">
        <v>22</v>
      </c>
      <c r="P479" t="s">
        <v>23</v>
      </c>
    </row>
    <row r="480" spans="1:16" x14ac:dyDescent="0.3">
      <c r="A480" t="s">
        <v>1528</v>
      </c>
      <c r="B480" t="s">
        <v>1529</v>
      </c>
      <c r="C480" s="1">
        <v>45310</v>
      </c>
      <c r="D480" s="1">
        <v>45310</v>
      </c>
      <c r="E480">
        <v>241</v>
      </c>
      <c r="F480">
        <v>240.9</v>
      </c>
      <c r="G480">
        <v>0</v>
      </c>
      <c r="H480">
        <v>0</v>
      </c>
      <c r="I480" t="s">
        <v>719</v>
      </c>
      <c r="J480" t="s">
        <v>720</v>
      </c>
      <c r="K480" t="s">
        <v>91</v>
      </c>
      <c r="L480" t="s">
        <v>92</v>
      </c>
      <c r="M480">
        <v>85</v>
      </c>
      <c r="N480" t="s">
        <v>93</v>
      </c>
      <c r="O480" t="s">
        <v>219</v>
      </c>
      <c r="P480" t="s">
        <v>220</v>
      </c>
    </row>
    <row r="481" spans="1:16" x14ac:dyDescent="0.3">
      <c r="A481" t="s">
        <v>1530</v>
      </c>
      <c r="B481" t="s">
        <v>1531</v>
      </c>
      <c r="C481" s="1">
        <v>45310</v>
      </c>
      <c r="D481" s="1">
        <v>45310</v>
      </c>
      <c r="E481">
        <v>500</v>
      </c>
      <c r="F481">
        <v>500</v>
      </c>
      <c r="G481">
        <v>0</v>
      </c>
      <c r="H481">
        <v>0</v>
      </c>
      <c r="I481" t="s">
        <v>1532</v>
      </c>
      <c r="J481" t="s">
        <v>1533</v>
      </c>
      <c r="K481" t="s">
        <v>19</v>
      </c>
      <c r="L481" t="s">
        <v>20</v>
      </c>
      <c r="M481">
        <v>95</v>
      </c>
      <c r="N481" t="s">
        <v>21</v>
      </c>
      <c r="O481" t="s">
        <v>22</v>
      </c>
      <c r="P481" t="s">
        <v>23</v>
      </c>
    </row>
    <row r="482" spans="1:16" x14ac:dyDescent="0.3">
      <c r="A482" t="s">
        <v>1534</v>
      </c>
      <c r="B482" t="s">
        <v>1535</v>
      </c>
      <c r="C482" s="1">
        <v>45310</v>
      </c>
      <c r="D482" s="1">
        <v>45310</v>
      </c>
      <c r="E482">
        <v>155</v>
      </c>
      <c r="F482">
        <v>155</v>
      </c>
      <c r="G482">
        <v>0</v>
      </c>
      <c r="H482">
        <v>0</v>
      </c>
      <c r="I482" t="s">
        <v>1536</v>
      </c>
      <c r="J482" t="s">
        <v>1537</v>
      </c>
      <c r="K482" t="s">
        <v>19</v>
      </c>
      <c r="L482" t="s">
        <v>20</v>
      </c>
      <c r="M482">
        <v>95</v>
      </c>
      <c r="N482" t="s">
        <v>21</v>
      </c>
      <c r="O482" t="s">
        <v>22</v>
      </c>
      <c r="P482" t="s">
        <v>23</v>
      </c>
    </row>
    <row r="483" spans="1:16" x14ac:dyDescent="0.3">
      <c r="A483" t="s">
        <v>1538</v>
      </c>
      <c r="B483" t="s">
        <v>1539</v>
      </c>
      <c r="C483" s="1">
        <v>45311</v>
      </c>
      <c r="D483" s="1">
        <v>45311</v>
      </c>
      <c r="E483">
        <v>90</v>
      </c>
      <c r="F483">
        <v>90</v>
      </c>
      <c r="G483">
        <v>0</v>
      </c>
      <c r="H483">
        <v>0</v>
      </c>
      <c r="I483" t="s">
        <v>108</v>
      </c>
      <c r="J483" t="s">
        <v>109</v>
      </c>
      <c r="K483" t="s">
        <v>19</v>
      </c>
      <c r="L483" t="s">
        <v>110</v>
      </c>
      <c r="M483">
        <v>100</v>
      </c>
      <c r="N483" t="s">
        <v>21</v>
      </c>
      <c r="O483" t="s">
        <v>22</v>
      </c>
      <c r="P483" t="s">
        <v>23</v>
      </c>
    </row>
    <row r="484" spans="1:16" x14ac:dyDescent="0.3">
      <c r="A484" t="s">
        <v>1540</v>
      </c>
      <c r="B484" t="s">
        <v>1541</v>
      </c>
      <c r="C484" s="1">
        <v>45312</v>
      </c>
      <c r="D484" s="1">
        <v>45334</v>
      </c>
      <c r="E484">
        <v>580</v>
      </c>
      <c r="F484">
        <v>590</v>
      </c>
      <c r="G484">
        <v>10</v>
      </c>
      <c r="H484">
        <v>22</v>
      </c>
      <c r="I484" t="s">
        <v>108</v>
      </c>
      <c r="J484" t="s">
        <v>109</v>
      </c>
      <c r="K484" t="s">
        <v>278</v>
      </c>
      <c r="L484" t="s">
        <v>623</v>
      </c>
      <c r="M484">
        <v>80</v>
      </c>
      <c r="N484" t="s">
        <v>93</v>
      </c>
      <c r="O484" t="s">
        <v>22</v>
      </c>
      <c r="P484" t="s">
        <v>23</v>
      </c>
    </row>
    <row r="485" spans="1:16" x14ac:dyDescent="0.3">
      <c r="A485" t="s">
        <v>1542</v>
      </c>
      <c r="B485" t="s">
        <v>1543</v>
      </c>
      <c r="C485" s="1">
        <v>45312</v>
      </c>
      <c r="D485" s="1">
        <v>45312</v>
      </c>
      <c r="E485">
        <v>300</v>
      </c>
      <c r="F485">
        <v>300</v>
      </c>
      <c r="G485">
        <v>0</v>
      </c>
      <c r="H485">
        <v>0</v>
      </c>
      <c r="I485" t="s">
        <v>1544</v>
      </c>
      <c r="J485" t="s">
        <v>1545</v>
      </c>
      <c r="K485" t="s">
        <v>19</v>
      </c>
      <c r="L485" t="s">
        <v>20</v>
      </c>
      <c r="M485">
        <v>95</v>
      </c>
      <c r="N485" t="s">
        <v>21</v>
      </c>
      <c r="O485" t="s">
        <v>22</v>
      </c>
      <c r="P485" t="s">
        <v>23</v>
      </c>
    </row>
    <row r="486" spans="1:16" x14ac:dyDescent="0.3">
      <c r="A486" t="s">
        <v>1546</v>
      </c>
      <c r="B486" t="s">
        <v>1547</v>
      </c>
      <c r="C486" s="1">
        <v>45312</v>
      </c>
      <c r="D486" s="1">
        <v>45312</v>
      </c>
      <c r="E486">
        <v>50</v>
      </c>
      <c r="F486">
        <v>50</v>
      </c>
      <c r="G486">
        <v>0</v>
      </c>
      <c r="H486">
        <v>0</v>
      </c>
      <c r="I486" t="s">
        <v>96</v>
      </c>
      <c r="J486" t="s">
        <v>97</v>
      </c>
      <c r="K486" t="s">
        <v>19</v>
      </c>
      <c r="L486" t="s">
        <v>20</v>
      </c>
      <c r="M486">
        <v>95</v>
      </c>
      <c r="N486" t="s">
        <v>21</v>
      </c>
      <c r="O486" t="s">
        <v>22</v>
      </c>
      <c r="P486" t="s">
        <v>23</v>
      </c>
    </row>
    <row r="487" spans="1:16" x14ac:dyDescent="0.3">
      <c r="A487" t="s">
        <v>1548</v>
      </c>
      <c r="B487" t="s">
        <v>1549</v>
      </c>
      <c r="C487" s="1">
        <v>45313</v>
      </c>
      <c r="D487" s="1">
        <v>45313</v>
      </c>
      <c r="E487">
        <v>10</v>
      </c>
      <c r="F487">
        <v>10</v>
      </c>
      <c r="G487">
        <v>0</v>
      </c>
      <c r="H487">
        <v>0</v>
      </c>
      <c r="I487" t="s">
        <v>1550</v>
      </c>
      <c r="J487" t="s">
        <v>1551</v>
      </c>
      <c r="K487" t="s">
        <v>19</v>
      </c>
      <c r="L487" t="s">
        <v>20</v>
      </c>
      <c r="M487">
        <v>95</v>
      </c>
      <c r="N487" t="s">
        <v>21</v>
      </c>
      <c r="O487" t="s">
        <v>22</v>
      </c>
      <c r="P487" t="s">
        <v>23</v>
      </c>
    </row>
    <row r="488" spans="1:16" x14ac:dyDescent="0.3">
      <c r="A488" t="s">
        <v>1552</v>
      </c>
      <c r="B488" t="s">
        <v>1553</v>
      </c>
      <c r="C488" s="1">
        <v>45315</v>
      </c>
      <c r="D488" s="1">
        <v>45315</v>
      </c>
      <c r="E488">
        <v>350</v>
      </c>
      <c r="F488">
        <v>350</v>
      </c>
      <c r="G488">
        <v>0</v>
      </c>
      <c r="H488">
        <v>0</v>
      </c>
      <c r="I488" t="s">
        <v>108</v>
      </c>
      <c r="J488" t="s">
        <v>109</v>
      </c>
      <c r="K488" t="s">
        <v>19</v>
      </c>
      <c r="L488" t="s">
        <v>110</v>
      </c>
      <c r="M488">
        <v>100</v>
      </c>
      <c r="N488" t="s">
        <v>21</v>
      </c>
      <c r="O488" t="s">
        <v>22</v>
      </c>
      <c r="P488" t="s">
        <v>23</v>
      </c>
    </row>
    <row r="489" spans="1:16" x14ac:dyDescent="0.3">
      <c r="A489" t="s">
        <v>1554</v>
      </c>
      <c r="B489" t="s">
        <v>1555</v>
      </c>
      <c r="C489" s="1">
        <v>45315</v>
      </c>
      <c r="D489" s="1">
        <v>45315</v>
      </c>
      <c r="E489">
        <v>241</v>
      </c>
      <c r="F489">
        <v>240.9</v>
      </c>
      <c r="G489">
        <v>0</v>
      </c>
      <c r="H489">
        <v>0</v>
      </c>
      <c r="I489" t="s">
        <v>1526</v>
      </c>
      <c r="J489" t="s">
        <v>1527</v>
      </c>
      <c r="K489" t="s">
        <v>19</v>
      </c>
      <c r="L489" t="s">
        <v>20</v>
      </c>
      <c r="M489">
        <v>95</v>
      </c>
      <c r="N489" t="s">
        <v>21</v>
      </c>
      <c r="O489" t="s">
        <v>22</v>
      </c>
      <c r="P489" t="s">
        <v>23</v>
      </c>
    </row>
    <row r="490" spans="1:16" x14ac:dyDescent="0.3">
      <c r="A490" t="s">
        <v>1556</v>
      </c>
      <c r="B490" t="s">
        <v>1557</v>
      </c>
      <c r="C490" s="1">
        <v>45315</v>
      </c>
      <c r="D490" s="1">
        <v>45315</v>
      </c>
      <c r="E490">
        <v>500</v>
      </c>
      <c r="F490">
        <v>500</v>
      </c>
      <c r="G490">
        <v>0</v>
      </c>
      <c r="H490">
        <v>0</v>
      </c>
      <c r="I490" t="s">
        <v>1558</v>
      </c>
      <c r="J490" t="s">
        <v>1559</v>
      </c>
      <c r="K490" t="s">
        <v>19</v>
      </c>
      <c r="L490" t="s">
        <v>20</v>
      </c>
      <c r="M490">
        <v>95</v>
      </c>
      <c r="N490" t="s">
        <v>21</v>
      </c>
      <c r="O490" t="s">
        <v>22</v>
      </c>
      <c r="P490" t="s">
        <v>23</v>
      </c>
    </row>
    <row r="491" spans="1:16" x14ac:dyDescent="0.3">
      <c r="A491" t="s">
        <v>1560</v>
      </c>
      <c r="B491" t="s">
        <v>1561</v>
      </c>
      <c r="C491" s="1">
        <v>45317</v>
      </c>
      <c r="D491" s="1">
        <v>45317</v>
      </c>
      <c r="E491">
        <v>300</v>
      </c>
      <c r="F491">
        <v>300</v>
      </c>
      <c r="G491">
        <v>0</v>
      </c>
      <c r="H491">
        <v>0</v>
      </c>
      <c r="I491" t="s">
        <v>108</v>
      </c>
      <c r="J491" t="s">
        <v>109</v>
      </c>
      <c r="K491" t="s">
        <v>19</v>
      </c>
      <c r="L491" t="s">
        <v>110</v>
      </c>
      <c r="M491">
        <v>100</v>
      </c>
      <c r="N491" t="s">
        <v>21</v>
      </c>
      <c r="O491" t="s">
        <v>22</v>
      </c>
      <c r="P491" t="s">
        <v>23</v>
      </c>
    </row>
    <row r="492" spans="1:16" x14ac:dyDescent="0.3">
      <c r="A492" t="s">
        <v>1562</v>
      </c>
      <c r="B492" t="s">
        <v>1563</v>
      </c>
      <c r="C492" s="1">
        <v>45317</v>
      </c>
      <c r="D492" s="1">
        <v>45317</v>
      </c>
      <c r="E492">
        <v>260</v>
      </c>
      <c r="F492">
        <v>260</v>
      </c>
      <c r="G492">
        <v>0</v>
      </c>
      <c r="H492">
        <v>0</v>
      </c>
      <c r="I492" t="s">
        <v>1564</v>
      </c>
      <c r="J492" t="s">
        <v>1565</v>
      </c>
      <c r="K492" t="s">
        <v>19</v>
      </c>
      <c r="L492" t="s">
        <v>20</v>
      </c>
      <c r="M492">
        <v>95</v>
      </c>
      <c r="N492" t="s">
        <v>21</v>
      </c>
      <c r="O492" t="s">
        <v>22</v>
      </c>
      <c r="P492" t="s">
        <v>23</v>
      </c>
    </row>
    <row r="493" spans="1:16" x14ac:dyDescent="0.3">
      <c r="A493" t="s">
        <v>1566</v>
      </c>
      <c r="B493" t="s">
        <v>1567</v>
      </c>
      <c r="C493" s="1">
        <v>45318</v>
      </c>
      <c r="D493" s="1">
        <v>45318</v>
      </c>
      <c r="E493">
        <v>550</v>
      </c>
      <c r="F493">
        <v>550</v>
      </c>
      <c r="G493">
        <v>0</v>
      </c>
      <c r="H493">
        <v>0</v>
      </c>
      <c r="I493" t="s">
        <v>108</v>
      </c>
      <c r="J493" t="s">
        <v>109</v>
      </c>
      <c r="K493" t="s">
        <v>19</v>
      </c>
      <c r="L493" t="s">
        <v>110</v>
      </c>
      <c r="M493">
        <v>100</v>
      </c>
      <c r="N493" t="s">
        <v>21</v>
      </c>
      <c r="O493" t="s">
        <v>22</v>
      </c>
      <c r="P493" t="s">
        <v>23</v>
      </c>
    </row>
    <row r="494" spans="1:16" x14ac:dyDescent="0.3">
      <c r="A494" t="s">
        <v>1568</v>
      </c>
      <c r="B494" t="s">
        <v>1569</v>
      </c>
      <c r="C494" s="1">
        <v>45318</v>
      </c>
      <c r="D494" s="1">
        <v>45318</v>
      </c>
      <c r="E494">
        <v>120</v>
      </c>
      <c r="F494">
        <v>120</v>
      </c>
      <c r="G494">
        <v>0</v>
      </c>
      <c r="H494">
        <v>0</v>
      </c>
      <c r="I494" t="s">
        <v>1570</v>
      </c>
      <c r="J494" t="s">
        <v>1571</v>
      </c>
      <c r="K494" t="s">
        <v>19</v>
      </c>
      <c r="L494" t="s">
        <v>20</v>
      </c>
      <c r="M494">
        <v>95</v>
      </c>
      <c r="N494" t="s">
        <v>21</v>
      </c>
      <c r="O494" t="s">
        <v>22</v>
      </c>
      <c r="P494" t="s">
        <v>23</v>
      </c>
    </row>
    <row r="495" spans="1:16" x14ac:dyDescent="0.3">
      <c r="A495" t="s">
        <v>1572</v>
      </c>
      <c r="B495" t="s">
        <v>1573</v>
      </c>
      <c r="C495" s="1">
        <v>45318</v>
      </c>
      <c r="D495" s="1">
        <v>45318</v>
      </c>
      <c r="E495">
        <v>500</v>
      </c>
      <c r="F495">
        <v>500</v>
      </c>
      <c r="G495">
        <v>0</v>
      </c>
      <c r="H495">
        <v>0</v>
      </c>
      <c r="I495" t="s">
        <v>1574</v>
      </c>
      <c r="J495" t="s">
        <v>1575</v>
      </c>
      <c r="K495" t="s">
        <v>19</v>
      </c>
      <c r="L495" t="s">
        <v>20</v>
      </c>
      <c r="M495">
        <v>95</v>
      </c>
      <c r="N495" t="s">
        <v>21</v>
      </c>
      <c r="O495" t="s">
        <v>22</v>
      </c>
      <c r="P495" t="s">
        <v>23</v>
      </c>
    </row>
    <row r="496" spans="1:16" x14ac:dyDescent="0.3">
      <c r="A496" t="s">
        <v>1576</v>
      </c>
      <c r="B496" t="s">
        <v>1577</v>
      </c>
      <c r="C496" s="1">
        <v>45318</v>
      </c>
      <c r="D496" s="1">
        <v>45318</v>
      </c>
      <c r="E496">
        <v>35</v>
      </c>
      <c r="F496">
        <v>35</v>
      </c>
      <c r="G496">
        <v>0</v>
      </c>
      <c r="H496">
        <v>0</v>
      </c>
      <c r="I496" t="s">
        <v>1578</v>
      </c>
      <c r="J496" t="s">
        <v>1579</v>
      </c>
      <c r="K496" t="s">
        <v>19</v>
      </c>
      <c r="L496" t="s">
        <v>20</v>
      </c>
      <c r="M496">
        <v>95</v>
      </c>
      <c r="N496" t="s">
        <v>21</v>
      </c>
      <c r="O496" t="s">
        <v>22</v>
      </c>
      <c r="P496" t="s">
        <v>23</v>
      </c>
    </row>
    <row r="497" spans="1:16" x14ac:dyDescent="0.3">
      <c r="A497" t="s">
        <v>1580</v>
      </c>
      <c r="B497" t="s">
        <v>1581</v>
      </c>
      <c r="C497" s="1">
        <v>45319</v>
      </c>
      <c r="D497" s="1">
        <v>45319</v>
      </c>
      <c r="E497">
        <v>1720</v>
      </c>
      <c r="F497">
        <v>1720</v>
      </c>
      <c r="G497">
        <v>0</v>
      </c>
      <c r="H497">
        <v>0</v>
      </c>
      <c r="I497" t="s">
        <v>108</v>
      </c>
      <c r="J497" t="s">
        <v>109</v>
      </c>
      <c r="K497" t="s">
        <v>19</v>
      </c>
      <c r="L497" t="s">
        <v>110</v>
      </c>
      <c r="M497">
        <v>100</v>
      </c>
      <c r="N497" t="s">
        <v>21</v>
      </c>
      <c r="O497" t="s">
        <v>22</v>
      </c>
      <c r="P497" t="s">
        <v>23</v>
      </c>
    </row>
    <row r="498" spans="1:16" x14ac:dyDescent="0.3">
      <c r="A498" t="s">
        <v>1582</v>
      </c>
      <c r="B498" t="s">
        <v>1583</v>
      </c>
      <c r="C498" s="1">
        <v>45319</v>
      </c>
      <c r="D498" s="1">
        <v>45305</v>
      </c>
      <c r="E498">
        <v>15</v>
      </c>
      <c r="F498">
        <v>15.3</v>
      </c>
      <c r="G498">
        <v>0.3</v>
      </c>
      <c r="H498">
        <v>-14</v>
      </c>
      <c r="I498" t="s">
        <v>772</v>
      </c>
      <c r="J498" t="s">
        <v>773</v>
      </c>
      <c r="K498" t="s">
        <v>278</v>
      </c>
      <c r="L498" t="s">
        <v>1584</v>
      </c>
      <c r="M498">
        <v>80</v>
      </c>
      <c r="N498" t="s">
        <v>93</v>
      </c>
      <c r="O498" t="s">
        <v>22</v>
      </c>
      <c r="P498" t="s">
        <v>23</v>
      </c>
    </row>
    <row r="499" spans="1:16" x14ac:dyDescent="0.3">
      <c r="A499" t="s">
        <v>1585</v>
      </c>
      <c r="B499" t="s">
        <v>1586</v>
      </c>
      <c r="C499" s="1">
        <v>45319</v>
      </c>
      <c r="D499" s="1">
        <v>45319</v>
      </c>
      <c r="E499">
        <v>800</v>
      </c>
      <c r="F499">
        <v>800</v>
      </c>
      <c r="G499">
        <v>0</v>
      </c>
      <c r="H499">
        <v>0</v>
      </c>
      <c r="I499" t="s">
        <v>1587</v>
      </c>
      <c r="J499" t="s">
        <v>1588</v>
      </c>
      <c r="K499" t="s">
        <v>19</v>
      </c>
      <c r="L499" t="s">
        <v>20</v>
      </c>
      <c r="M499">
        <v>95</v>
      </c>
      <c r="N499" t="s">
        <v>21</v>
      </c>
      <c r="O499" t="s">
        <v>22</v>
      </c>
      <c r="P499" t="s">
        <v>23</v>
      </c>
    </row>
    <row r="500" spans="1:16" x14ac:dyDescent="0.3">
      <c r="A500" t="s">
        <v>1589</v>
      </c>
      <c r="B500" t="s">
        <v>1590</v>
      </c>
      <c r="C500" s="1">
        <v>45319</v>
      </c>
      <c r="D500" s="1">
        <v>45319</v>
      </c>
      <c r="E500">
        <v>50</v>
      </c>
      <c r="F500">
        <v>50</v>
      </c>
      <c r="G500">
        <v>0</v>
      </c>
      <c r="H500">
        <v>0</v>
      </c>
      <c r="I500" t="s">
        <v>67</v>
      </c>
      <c r="J500" t="s">
        <v>68</v>
      </c>
      <c r="K500" t="s">
        <v>19</v>
      </c>
      <c r="L500" t="s">
        <v>20</v>
      </c>
      <c r="M500">
        <v>95</v>
      </c>
      <c r="N500" t="s">
        <v>21</v>
      </c>
      <c r="O500" t="s">
        <v>22</v>
      </c>
      <c r="P500" t="s">
        <v>23</v>
      </c>
    </row>
    <row r="501" spans="1:16" x14ac:dyDescent="0.3">
      <c r="A501" t="s">
        <v>1591</v>
      </c>
      <c r="B501" t="s">
        <v>1592</v>
      </c>
      <c r="C501" s="1">
        <v>45320</v>
      </c>
      <c r="D501" s="1">
        <v>45320</v>
      </c>
      <c r="E501">
        <v>1850</v>
      </c>
      <c r="F501">
        <v>1850</v>
      </c>
      <c r="G501">
        <v>0</v>
      </c>
      <c r="H501">
        <v>0</v>
      </c>
      <c r="I501" t="s">
        <v>108</v>
      </c>
      <c r="J501" t="s">
        <v>109</v>
      </c>
      <c r="K501" t="s">
        <v>19</v>
      </c>
      <c r="L501" t="s">
        <v>110</v>
      </c>
      <c r="M501">
        <v>100</v>
      </c>
      <c r="N501" t="s">
        <v>21</v>
      </c>
      <c r="O501" t="s">
        <v>22</v>
      </c>
      <c r="P501" t="s">
        <v>23</v>
      </c>
    </row>
    <row r="502" spans="1:16" x14ac:dyDescent="0.3">
      <c r="A502" t="s">
        <v>1593</v>
      </c>
      <c r="B502" t="s">
        <v>1594</v>
      </c>
      <c r="C502" s="1">
        <v>45320</v>
      </c>
      <c r="D502" s="1">
        <v>45320</v>
      </c>
      <c r="E502">
        <v>100</v>
      </c>
      <c r="F502">
        <v>100</v>
      </c>
      <c r="G502">
        <v>0</v>
      </c>
      <c r="H502">
        <v>0</v>
      </c>
      <c r="I502" t="s">
        <v>1595</v>
      </c>
      <c r="J502" t="s">
        <v>1596</v>
      </c>
      <c r="K502" t="s">
        <v>19</v>
      </c>
      <c r="L502" t="s">
        <v>20</v>
      </c>
      <c r="M502">
        <v>95</v>
      </c>
      <c r="N502" t="s">
        <v>21</v>
      </c>
      <c r="O502" t="s">
        <v>22</v>
      </c>
      <c r="P502" t="s">
        <v>23</v>
      </c>
    </row>
    <row r="503" spans="1:16" x14ac:dyDescent="0.3">
      <c r="A503" t="s">
        <v>1597</v>
      </c>
      <c r="B503" t="s">
        <v>1598</v>
      </c>
      <c r="C503" s="1">
        <v>45321</v>
      </c>
      <c r="D503" s="1">
        <v>45321</v>
      </c>
      <c r="E503">
        <v>800</v>
      </c>
      <c r="F503">
        <v>800</v>
      </c>
      <c r="G503">
        <v>0</v>
      </c>
      <c r="H503">
        <v>0</v>
      </c>
      <c r="I503" t="s">
        <v>108</v>
      </c>
      <c r="J503" t="s">
        <v>109</v>
      </c>
      <c r="K503" t="s">
        <v>19</v>
      </c>
      <c r="L503" t="s">
        <v>110</v>
      </c>
      <c r="M503">
        <v>100</v>
      </c>
      <c r="N503" t="s">
        <v>21</v>
      </c>
      <c r="O503" t="s">
        <v>22</v>
      </c>
      <c r="P503" t="s">
        <v>23</v>
      </c>
    </row>
    <row r="504" spans="1:16" x14ac:dyDescent="0.3">
      <c r="A504" t="s">
        <v>1599</v>
      </c>
      <c r="B504" t="s">
        <v>1600</v>
      </c>
      <c r="C504" s="1">
        <v>45321</v>
      </c>
      <c r="D504" s="1">
        <v>45321</v>
      </c>
      <c r="E504">
        <v>80</v>
      </c>
      <c r="F504">
        <v>80</v>
      </c>
      <c r="G504">
        <v>0</v>
      </c>
      <c r="H504">
        <v>0</v>
      </c>
      <c r="I504" t="s">
        <v>1601</v>
      </c>
      <c r="J504" t="s">
        <v>1602</v>
      </c>
      <c r="K504" t="s">
        <v>19</v>
      </c>
      <c r="L504" t="s">
        <v>20</v>
      </c>
      <c r="M504">
        <v>95</v>
      </c>
      <c r="N504" t="s">
        <v>21</v>
      </c>
      <c r="O504" t="s">
        <v>22</v>
      </c>
      <c r="P504" t="s">
        <v>23</v>
      </c>
    </row>
    <row r="505" spans="1:16" x14ac:dyDescent="0.3">
      <c r="A505" t="s">
        <v>1603</v>
      </c>
      <c r="B505" t="s">
        <v>1604</v>
      </c>
      <c r="C505" s="1">
        <v>45321</v>
      </c>
      <c r="D505" s="1">
        <v>45321</v>
      </c>
      <c r="E505">
        <v>7</v>
      </c>
      <c r="F505">
        <v>7</v>
      </c>
      <c r="G505">
        <v>0</v>
      </c>
      <c r="H505">
        <v>0</v>
      </c>
      <c r="I505" t="s">
        <v>81</v>
      </c>
      <c r="J505" t="s">
        <v>82</v>
      </c>
      <c r="K505" t="s">
        <v>19</v>
      </c>
      <c r="L505" t="s">
        <v>20</v>
      </c>
      <c r="M505">
        <v>95</v>
      </c>
      <c r="N505" t="s">
        <v>21</v>
      </c>
      <c r="O505" t="s">
        <v>22</v>
      </c>
      <c r="P505" t="s">
        <v>23</v>
      </c>
    </row>
    <row r="506" spans="1:16" x14ac:dyDescent="0.3">
      <c r="A506" t="s">
        <v>1605</v>
      </c>
      <c r="B506" t="s">
        <v>1606</v>
      </c>
      <c r="C506" s="1">
        <v>45321</v>
      </c>
      <c r="D506" s="1">
        <v>45321</v>
      </c>
      <c r="E506">
        <v>500</v>
      </c>
      <c r="F506">
        <v>500</v>
      </c>
      <c r="G506">
        <v>0</v>
      </c>
      <c r="H506">
        <v>0</v>
      </c>
      <c r="I506" t="s">
        <v>1607</v>
      </c>
      <c r="J506" t="s">
        <v>1608</v>
      </c>
      <c r="K506" t="s">
        <v>19</v>
      </c>
      <c r="L506" t="s">
        <v>20</v>
      </c>
      <c r="M506">
        <v>95</v>
      </c>
      <c r="N506" t="s">
        <v>21</v>
      </c>
      <c r="O506" t="s">
        <v>22</v>
      </c>
      <c r="P506" t="s">
        <v>23</v>
      </c>
    </row>
    <row r="507" spans="1:16" x14ac:dyDescent="0.3">
      <c r="A507" t="s">
        <v>1609</v>
      </c>
      <c r="B507" t="s">
        <v>1610</v>
      </c>
      <c r="C507" s="1">
        <v>45322</v>
      </c>
      <c r="D507" s="1">
        <v>45322</v>
      </c>
      <c r="E507">
        <v>207</v>
      </c>
      <c r="F507">
        <v>207</v>
      </c>
      <c r="G507">
        <v>0</v>
      </c>
      <c r="H507">
        <v>0</v>
      </c>
      <c r="I507" t="s">
        <v>108</v>
      </c>
      <c r="J507" t="s">
        <v>109</v>
      </c>
      <c r="K507" t="s">
        <v>19</v>
      </c>
      <c r="L507" t="s">
        <v>110</v>
      </c>
      <c r="M507">
        <v>100</v>
      </c>
      <c r="N507" t="s">
        <v>21</v>
      </c>
      <c r="O507" t="s">
        <v>22</v>
      </c>
      <c r="P507" t="s">
        <v>23</v>
      </c>
    </row>
    <row r="508" spans="1:16" x14ac:dyDescent="0.3">
      <c r="A508" t="s">
        <v>1611</v>
      </c>
      <c r="B508" t="s">
        <v>1612</v>
      </c>
      <c r="C508" s="1">
        <v>45322</v>
      </c>
      <c r="D508" s="1">
        <v>45322</v>
      </c>
      <c r="E508">
        <v>5000</v>
      </c>
      <c r="F508">
        <v>5000</v>
      </c>
      <c r="G508">
        <v>0</v>
      </c>
      <c r="H508">
        <v>0</v>
      </c>
      <c r="I508" t="s">
        <v>1613</v>
      </c>
      <c r="J508" t="s">
        <v>1614</v>
      </c>
      <c r="K508" t="s">
        <v>19</v>
      </c>
      <c r="L508" t="s">
        <v>20</v>
      </c>
      <c r="M508">
        <v>95</v>
      </c>
      <c r="N508" t="s">
        <v>21</v>
      </c>
      <c r="O508" t="s">
        <v>22</v>
      </c>
      <c r="P508" t="s">
        <v>23</v>
      </c>
    </row>
    <row r="509" spans="1:16" x14ac:dyDescent="0.3">
      <c r="A509" t="s">
        <v>1615</v>
      </c>
      <c r="B509" t="s">
        <v>1616</v>
      </c>
      <c r="C509" s="1">
        <v>45322</v>
      </c>
      <c r="D509" s="1">
        <v>45322</v>
      </c>
      <c r="E509">
        <v>100</v>
      </c>
      <c r="F509">
        <v>100</v>
      </c>
      <c r="G509">
        <v>0</v>
      </c>
      <c r="H509">
        <v>0</v>
      </c>
      <c r="I509" t="s">
        <v>1617</v>
      </c>
      <c r="J509" t="s">
        <v>1618</v>
      </c>
      <c r="K509" t="s">
        <v>19</v>
      </c>
      <c r="L509" t="s">
        <v>20</v>
      </c>
      <c r="M509">
        <v>95</v>
      </c>
      <c r="N509" t="s">
        <v>21</v>
      </c>
      <c r="O509" t="s">
        <v>22</v>
      </c>
      <c r="P509" t="s">
        <v>23</v>
      </c>
    </row>
    <row r="510" spans="1:16" x14ac:dyDescent="0.3">
      <c r="A510" t="s">
        <v>1619</v>
      </c>
      <c r="B510" t="s">
        <v>1620</v>
      </c>
      <c r="C510" s="1">
        <v>45322</v>
      </c>
      <c r="D510" s="1">
        <v>45322</v>
      </c>
      <c r="E510">
        <v>100</v>
      </c>
      <c r="F510">
        <v>100</v>
      </c>
      <c r="G510">
        <v>0</v>
      </c>
      <c r="H510">
        <v>0</v>
      </c>
      <c r="I510" t="s">
        <v>1621</v>
      </c>
      <c r="J510" t="s">
        <v>1622</v>
      </c>
      <c r="K510" t="s">
        <v>19</v>
      </c>
      <c r="L510" t="s">
        <v>20</v>
      </c>
      <c r="M510">
        <v>95</v>
      </c>
      <c r="N510" t="s">
        <v>21</v>
      </c>
      <c r="O510" t="s">
        <v>22</v>
      </c>
      <c r="P510" t="s">
        <v>23</v>
      </c>
    </row>
    <row r="511" spans="1:16" x14ac:dyDescent="0.3">
      <c r="A511" t="s">
        <v>1623</v>
      </c>
      <c r="B511" t="s">
        <v>1624</v>
      </c>
      <c r="C511" s="1">
        <v>45323</v>
      </c>
      <c r="D511" s="1">
        <v>45323</v>
      </c>
      <c r="E511">
        <v>900</v>
      </c>
      <c r="F511">
        <v>900</v>
      </c>
      <c r="G511">
        <v>0</v>
      </c>
      <c r="H511">
        <v>0</v>
      </c>
      <c r="I511" t="s">
        <v>108</v>
      </c>
      <c r="J511" t="s">
        <v>109</v>
      </c>
      <c r="K511" t="s">
        <v>19</v>
      </c>
      <c r="L511" t="s">
        <v>110</v>
      </c>
      <c r="M511">
        <v>100</v>
      </c>
      <c r="N511" t="s">
        <v>21</v>
      </c>
      <c r="O511" t="s">
        <v>22</v>
      </c>
      <c r="P511" t="s">
        <v>23</v>
      </c>
    </row>
    <row r="512" spans="1:16" x14ac:dyDescent="0.3">
      <c r="A512" t="s">
        <v>1625</v>
      </c>
      <c r="B512" t="s">
        <v>1626</v>
      </c>
      <c r="C512" s="1">
        <v>45323</v>
      </c>
      <c r="D512" s="1">
        <v>45323</v>
      </c>
      <c r="E512">
        <v>19</v>
      </c>
      <c r="F512">
        <v>19</v>
      </c>
      <c r="G512">
        <v>0</v>
      </c>
      <c r="H512">
        <v>0</v>
      </c>
      <c r="I512" t="s">
        <v>719</v>
      </c>
      <c r="J512" t="s">
        <v>720</v>
      </c>
      <c r="K512" t="s">
        <v>19</v>
      </c>
      <c r="L512" t="s">
        <v>20</v>
      </c>
      <c r="M512">
        <v>95</v>
      </c>
      <c r="N512" t="s">
        <v>21</v>
      </c>
      <c r="O512" t="s">
        <v>22</v>
      </c>
      <c r="P512" t="s">
        <v>23</v>
      </c>
    </row>
    <row r="513" spans="1:16" x14ac:dyDescent="0.3">
      <c r="A513" t="s">
        <v>1627</v>
      </c>
      <c r="B513" t="s">
        <v>1628</v>
      </c>
      <c r="C513" s="1">
        <v>45322</v>
      </c>
      <c r="D513" s="1">
        <v>45322</v>
      </c>
      <c r="E513">
        <v>58</v>
      </c>
      <c r="F513">
        <v>58</v>
      </c>
      <c r="G513">
        <v>0</v>
      </c>
      <c r="H513">
        <v>0</v>
      </c>
      <c r="I513" t="s">
        <v>1629</v>
      </c>
      <c r="J513" t="s">
        <v>1629</v>
      </c>
      <c r="K513" t="s">
        <v>19</v>
      </c>
      <c r="L513" t="s">
        <v>20</v>
      </c>
      <c r="M513">
        <v>95</v>
      </c>
      <c r="N513" t="s">
        <v>21</v>
      </c>
      <c r="O513" t="s">
        <v>22</v>
      </c>
      <c r="P513" t="s">
        <v>23</v>
      </c>
    </row>
    <row r="514" spans="1:16" x14ac:dyDescent="0.3">
      <c r="A514" t="s">
        <v>1630</v>
      </c>
      <c r="B514" t="s">
        <v>1631</v>
      </c>
      <c r="C514" s="1">
        <v>45325</v>
      </c>
      <c r="D514" s="1">
        <v>45325</v>
      </c>
      <c r="E514">
        <v>200</v>
      </c>
      <c r="F514">
        <v>200</v>
      </c>
      <c r="G514">
        <v>0</v>
      </c>
      <c r="H514">
        <v>0</v>
      </c>
      <c r="I514" t="s">
        <v>1632</v>
      </c>
      <c r="J514" t="s">
        <v>1633</v>
      </c>
      <c r="K514" t="s">
        <v>19</v>
      </c>
      <c r="L514" t="s">
        <v>20</v>
      </c>
      <c r="M514">
        <v>95</v>
      </c>
      <c r="N514" t="s">
        <v>21</v>
      </c>
      <c r="O514" t="s">
        <v>22</v>
      </c>
      <c r="P514" t="s">
        <v>23</v>
      </c>
    </row>
    <row r="515" spans="1:16" x14ac:dyDescent="0.3">
      <c r="A515" t="s">
        <v>1634</v>
      </c>
      <c r="B515" t="s">
        <v>1635</v>
      </c>
      <c r="C515" s="1">
        <v>45325</v>
      </c>
      <c r="D515" s="1">
        <v>45325</v>
      </c>
      <c r="E515">
        <v>400</v>
      </c>
      <c r="F515">
        <v>400</v>
      </c>
      <c r="G515">
        <v>0</v>
      </c>
      <c r="H515">
        <v>0</v>
      </c>
      <c r="I515" t="s">
        <v>81</v>
      </c>
      <c r="J515" t="s">
        <v>82</v>
      </c>
      <c r="K515" t="s">
        <v>19</v>
      </c>
      <c r="L515" t="s">
        <v>20</v>
      </c>
      <c r="M515">
        <v>95</v>
      </c>
      <c r="N515" t="s">
        <v>21</v>
      </c>
      <c r="O515" t="s">
        <v>22</v>
      </c>
      <c r="P515" t="s">
        <v>23</v>
      </c>
    </row>
    <row r="516" spans="1:16" x14ac:dyDescent="0.3">
      <c r="A516" t="s">
        <v>1636</v>
      </c>
      <c r="B516" t="s">
        <v>1637</v>
      </c>
      <c r="C516" s="1">
        <v>45325</v>
      </c>
      <c r="D516" s="1">
        <v>45325</v>
      </c>
      <c r="E516">
        <v>50</v>
      </c>
      <c r="F516">
        <v>50</v>
      </c>
      <c r="G516">
        <v>0</v>
      </c>
      <c r="H516">
        <v>0</v>
      </c>
      <c r="I516" t="s">
        <v>67</v>
      </c>
      <c r="J516" t="s">
        <v>68</v>
      </c>
      <c r="K516" t="s">
        <v>19</v>
      </c>
      <c r="L516" t="s">
        <v>20</v>
      </c>
      <c r="M516">
        <v>95</v>
      </c>
      <c r="N516" t="s">
        <v>21</v>
      </c>
      <c r="O516" t="s">
        <v>22</v>
      </c>
      <c r="P516" t="s">
        <v>23</v>
      </c>
    </row>
    <row r="517" spans="1:16" x14ac:dyDescent="0.3">
      <c r="A517" t="s">
        <v>1638</v>
      </c>
      <c r="B517" t="s">
        <v>1639</v>
      </c>
      <c r="C517" s="1">
        <v>45325</v>
      </c>
      <c r="D517" s="1">
        <v>45325</v>
      </c>
      <c r="E517">
        <v>120</v>
      </c>
      <c r="F517">
        <v>120</v>
      </c>
      <c r="G517">
        <v>0</v>
      </c>
      <c r="H517">
        <v>0</v>
      </c>
      <c r="I517" t="s">
        <v>1640</v>
      </c>
      <c r="J517" t="s">
        <v>1641</v>
      </c>
      <c r="K517" t="s">
        <v>19</v>
      </c>
      <c r="L517" t="s">
        <v>20</v>
      </c>
      <c r="M517">
        <v>95</v>
      </c>
      <c r="N517" t="s">
        <v>21</v>
      </c>
      <c r="O517" t="s">
        <v>22</v>
      </c>
      <c r="P517" t="s">
        <v>23</v>
      </c>
    </row>
    <row r="518" spans="1:16" x14ac:dyDescent="0.3">
      <c r="A518" t="s">
        <v>1642</v>
      </c>
      <c r="B518" t="s">
        <v>1643</v>
      </c>
      <c r="C518" s="1">
        <v>45326</v>
      </c>
      <c r="D518" s="1">
        <v>45326</v>
      </c>
      <c r="E518">
        <v>800</v>
      </c>
      <c r="F518">
        <v>800</v>
      </c>
      <c r="G518">
        <v>0</v>
      </c>
      <c r="H518">
        <v>0</v>
      </c>
      <c r="I518" t="s">
        <v>108</v>
      </c>
      <c r="J518" t="s">
        <v>109</v>
      </c>
      <c r="K518" t="s">
        <v>19</v>
      </c>
      <c r="L518" t="s">
        <v>110</v>
      </c>
      <c r="M518">
        <v>100</v>
      </c>
      <c r="N518" t="s">
        <v>21</v>
      </c>
      <c r="O518" t="s">
        <v>22</v>
      </c>
      <c r="P518" t="s">
        <v>23</v>
      </c>
    </row>
    <row r="519" spans="1:16" x14ac:dyDescent="0.3">
      <c r="A519" t="s">
        <v>1644</v>
      </c>
      <c r="B519" t="s">
        <v>1645</v>
      </c>
      <c r="C519" s="1">
        <v>45326</v>
      </c>
      <c r="D519" s="1">
        <v>45326</v>
      </c>
      <c r="E519">
        <v>120</v>
      </c>
      <c r="F519">
        <v>120</v>
      </c>
      <c r="G519">
        <v>0</v>
      </c>
      <c r="H519">
        <v>0</v>
      </c>
      <c r="I519" t="s">
        <v>1646</v>
      </c>
      <c r="J519" t="s">
        <v>1647</v>
      </c>
      <c r="K519" t="s">
        <v>19</v>
      </c>
      <c r="L519" t="s">
        <v>20</v>
      </c>
      <c r="M519">
        <v>95</v>
      </c>
      <c r="N519" t="s">
        <v>21</v>
      </c>
      <c r="O519" t="s">
        <v>22</v>
      </c>
      <c r="P519" t="s">
        <v>23</v>
      </c>
    </row>
    <row r="520" spans="1:16" x14ac:dyDescent="0.3">
      <c r="A520" t="s">
        <v>1648</v>
      </c>
      <c r="B520" t="s">
        <v>1649</v>
      </c>
      <c r="C520" s="1">
        <v>45327</v>
      </c>
      <c r="D520" s="1">
        <v>45327</v>
      </c>
      <c r="E520">
        <v>50</v>
      </c>
      <c r="F520">
        <v>50</v>
      </c>
      <c r="G520">
        <v>0</v>
      </c>
      <c r="H520">
        <v>0</v>
      </c>
      <c r="I520" t="s">
        <v>1650</v>
      </c>
      <c r="J520" t="s">
        <v>1651</v>
      </c>
      <c r="K520" t="s">
        <v>19</v>
      </c>
      <c r="L520" t="s">
        <v>20</v>
      </c>
      <c r="M520">
        <v>95</v>
      </c>
      <c r="N520" t="s">
        <v>21</v>
      </c>
      <c r="O520" t="s">
        <v>22</v>
      </c>
      <c r="P520" t="s">
        <v>23</v>
      </c>
    </row>
    <row r="521" spans="1:16" x14ac:dyDescent="0.3">
      <c r="A521" t="s">
        <v>1652</v>
      </c>
      <c r="B521" t="s">
        <v>1653</v>
      </c>
      <c r="C521" s="1">
        <v>45327</v>
      </c>
      <c r="D521" s="1">
        <v>45327</v>
      </c>
      <c r="E521">
        <v>500</v>
      </c>
      <c r="F521">
        <v>500</v>
      </c>
      <c r="G521">
        <v>0</v>
      </c>
      <c r="H521">
        <v>0</v>
      </c>
      <c r="I521" t="s">
        <v>1654</v>
      </c>
      <c r="J521" t="s">
        <v>1655</v>
      </c>
      <c r="K521" t="s">
        <v>19</v>
      </c>
      <c r="L521" t="s">
        <v>20</v>
      </c>
      <c r="M521">
        <v>95</v>
      </c>
      <c r="N521" t="s">
        <v>21</v>
      </c>
      <c r="O521" t="s">
        <v>22</v>
      </c>
      <c r="P521" t="s">
        <v>23</v>
      </c>
    </row>
    <row r="522" spans="1:16" x14ac:dyDescent="0.3">
      <c r="A522" t="s">
        <v>1656</v>
      </c>
      <c r="B522" t="s">
        <v>1657</v>
      </c>
      <c r="C522" s="1">
        <v>45327</v>
      </c>
      <c r="D522" s="1">
        <v>45327</v>
      </c>
      <c r="E522">
        <v>150</v>
      </c>
      <c r="F522">
        <v>150</v>
      </c>
      <c r="G522">
        <v>0</v>
      </c>
      <c r="H522">
        <v>0</v>
      </c>
      <c r="I522" t="s">
        <v>81</v>
      </c>
      <c r="J522" t="s">
        <v>82</v>
      </c>
      <c r="K522" t="s">
        <v>19</v>
      </c>
      <c r="L522" t="s">
        <v>20</v>
      </c>
      <c r="M522">
        <v>95</v>
      </c>
      <c r="N522" t="s">
        <v>21</v>
      </c>
      <c r="O522" t="s">
        <v>22</v>
      </c>
      <c r="P522" t="s">
        <v>23</v>
      </c>
    </row>
    <row r="523" spans="1:16" x14ac:dyDescent="0.3">
      <c r="A523" t="s">
        <v>1658</v>
      </c>
      <c r="B523" t="s">
        <v>1659</v>
      </c>
      <c r="C523" s="1">
        <v>45328</v>
      </c>
      <c r="D523" s="1">
        <v>45328</v>
      </c>
      <c r="E523">
        <v>10</v>
      </c>
      <c r="F523">
        <v>10</v>
      </c>
      <c r="G523">
        <v>0</v>
      </c>
      <c r="H523">
        <v>0</v>
      </c>
      <c r="I523" t="s">
        <v>1660</v>
      </c>
      <c r="J523" t="s">
        <v>1661</v>
      </c>
      <c r="K523" t="s">
        <v>19</v>
      </c>
      <c r="L523" t="s">
        <v>20</v>
      </c>
      <c r="M523">
        <v>95</v>
      </c>
      <c r="N523" t="s">
        <v>21</v>
      </c>
      <c r="O523" t="s">
        <v>22</v>
      </c>
      <c r="P523" t="s">
        <v>23</v>
      </c>
    </row>
    <row r="524" spans="1:16" x14ac:dyDescent="0.3">
      <c r="A524" t="s">
        <v>1662</v>
      </c>
      <c r="B524" t="s">
        <v>1663</v>
      </c>
      <c r="C524" s="1">
        <v>45329</v>
      </c>
      <c r="D524" s="1">
        <v>45329</v>
      </c>
      <c r="E524">
        <v>200</v>
      </c>
      <c r="F524">
        <v>200</v>
      </c>
      <c r="G524">
        <v>0</v>
      </c>
      <c r="H524">
        <v>0</v>
      </c>
      <c r="I524" t="s">
        <v>1664</v>
      </c>
      <c r="J524" t="s">
        <v>1665</v>
      </c>
      <c r="K524" t="s">
        <v>19</v>
      </c>
      <c r="L524" t="s">
        <v>20</v>
      </c>
      <c r="M524">
        <v>95</v>
      </c>
      <c r="N524" t="s">
        <v>21</v>
      </c>
      <c r="O524" t="s">
        <v>22</v>
      </c>
      <c r="P524" t="s">
        <v>23</v>
      </c>
    </row>
    <row r="525" spans="1:16" x14ac:dyDescent="0.3">
      <c r="A525" t="s">
        <v>1666</v>
      </c>
      <c r="B525" t="s">
        <v>1667</v>
      </c>
      <c r="C525" s="1">
        <v>45329</v>
      </c>
      <c r="D525" s="1">
        <v>45329</v>
      </c>
      <c r="E525">
        <v>10</v>
      </c>
      <c r="F525">
        <v>10</v>
      </c>
      <c r="G525">
        <v>0</v>
      </c>
      <c r="H525">
        <v>0</v>
      </c>
      <c r="I525" t="s">
        <v>1668</v>
      </c>
      <c r="J525" t="s">
        <v>1669</v>
      </c>
      <c r="K525" t="s">
        <v>19</v>
      </c>
      <c r="L525" t="s">
        <v>20</v>
      </c>
      <c r="M525">
        <v>95</v>
      </c>
      <c r="N525" t="s">
        <v>21</v>
      </c>
      <c r="O525" t="s">
        <v>22</v>
      </c>
      <c r="P525" t="s">
        <v>23</v>
      </c>
    </row>
    <row r="526" spans="1:16" x14ac:dyDescent="0.3">
      <c r="A526" t="s">
        <v>1670</v>
      </c>
      <c r="B526" t="s">
        <v>1671</v>
      </c>
      <c r="C526" s="1">
        <v>45330</v>
      </c>
      <c r="D526" s="1">
        <v>45330</v>
      </c>
      <c r="E526">
        <v>2600</v>
      </c>
      <c r="F526">
        <v>2600</v>
      </c>
      <c r="G526">
        <v>0</v>
      </c>
      <c r="H526">
        <v>0</v>
      </c>
      <c r="I526" t="s">
        <v>108</v>
      </c>
      <c r="J526" t="s">
        <v>109</v>
      </c>
      <c r="K526" t="s">
        <v>19</v>
      </c>
      <c r="L526" t="s">
        <v>110</v>
      </c>
      <c r="M526">
        <v>100</v>
      </c>
      <c r="N526" t="s">
        <v>21</v>
      </c>
      <c r="O526" t="s">
        <v>22</v>
      </c>
      <c r="P526" t="s">
        <v>23</v>
      </c>
    </row>
    <row r="527" spans="1:16" x14ac:dyDescent="0.3">
      <c r="A527" t="s">
        <v>1672</v>
      </c>
      <c r="B527" t="s">
        <v>1673</v>
      </c>
      <c r="C527" s="1">
        <v>45330</v>
      </c>
      <c r="D527" s="1">
        <v>45330</v>
      </c>
      <c r="E527">
        <v>50</v>
      </c>
      <c r="F527">
        <v>50</v>
      </c>
      <c r="G527">
        <v>0</v>
      </c>
      <c r="H527">
        <v>0</v>
      </c>
      <c r="I527" t="s">
        <v>1674</v>
      </c>
      <c r="J527" t="s">
        <v>1675</v>
      </c>
      <c r="K527" t="s">
        <v>19</v>
      </c>
      <c r="L527" t="s">
        <v>20</v>
      </c>
      <c r="M527">
        <v>95</v>
      </c>
      <c r="N527" t="s">
        <v>21</v>
      </c>
      <c r="O527" t="s">
        <v>22</v>
      </c>
      <c r="P527" t="s">
        <v>23</v>
      </c>
    </row>
    <row r="528" spans="1:16" x14ac:dyDescent="0.3">
      <c r="A528" t="s">
        <v>1676</v>
      </c>
      <c r="B528" t="s">
        <v>1677</v>
      </c>
      <c r="C528" s="1">
        <v>45330</v>
      </c>
      <c r="D528" s="1">
        <v>45330</v>
      </c>
      <c r="E528">
        <v>120</v>
      </c>
      <c r="F528">
        <v>120</v>
      </c>
      <c r="G528">
        <v>0</v>
      </c>
      <c r="H528">
        <v>0</v>
      </c>
      <c r="I528" t="s">
        <v>96</v>
      </c>
      <c r="J528" t="s">
        <v>97</v>
      </c>
      <c r="K528" t="s">
        <v>19</v>
      </c>
      <c r="L528" t="s">
        <v>20</v>
      </c>
      <c r="M528">
        <v>95</v>
      </c>
      <c r="N528" t="s">
        <v>21</v>
      </c>
      <c r="O528" t="s">
        <v>22</v>
      </c>
      <c r="P528" t="s">
        <v>23</v>
      </c>
    </row>
    <row r="529" spans="1:16" x14ac:dyDescent="0.3">
      <c r="A529" t="s">
        <v>1678</v>
      </c>
      <c r="B529" t="s">
        <v>1679</v>
      </c>
      <c r="C529" s="1">
        <v>45330</v>
      </c>
      <c r="D529" s="1">
        <v>45330</v>
      </c>
      <c r="E529">
        <v>240</v>
      </c>
      <c r="F529">
        <v>240</v>
      </c>
      <c r="G529">
        <v>0</v>
      </c>
      <c r="H529">
        <v>0</v>
      </c>
      <c r="I529" t="s">
        <v>1680</v>
      </c>
      <c r="J529" t="s">
        <v>1681</v>
      </c>
      <c r="K529" t="s">
        <v>19</v>
      </c>
      <c r="L529" t="s">
        <v>20</v>
      </c>
      <c r="M529">
        <v>95</v>
      </c>
      <c r="N529" t="s">
        <v>21</v>
      </c>
      <c r="O529" t="s">
        <v>22</v>
      </c>
      <c r="P529" t="s">
        <v>23</v>
      </c>
    </row>
    <row r="530" spans="1:16" x14ac:dyDescent="0.3">
      <c r="A530" t="s">
        <v>1682</v>
      </c>
      <c r="B530" t="s">
        <v>1683</v>
      </c>
      <c r="C530" s="1">
        <v>45331</v>
      </c>
      <c r="D530" s="1">
        <v>45331</v>
      </c>
      <c r="E530">
        <v>100</v>
      </c>
      <c r="F530">
        <v>100</v>
      </c>
      <c r="G530">
        <v>0</v>
      </c>
      <c r="H530">
        <v>0</v>
      </c>
      <c r="I530" t="s">
        <v>96</v>
      </c>
      <c r="J530" t="s">
        <v>97</v>
      </c>
      <c r="K530" t="s">
        <v>19</v>
      </c>
      <c r="L530" t="s">
        <v>20</v>
      </c>
      <c r="M530">
        <v>95</v>
      </c>
      <c r="N530" t="s">
        <v>21</v>
      </c>
      <c r="O530" t="s">
        <v>22</v>
      </c>
      <c r="P530" t="s">
        <v>23</v>
      </c>
    </row>
    <row r="531" spans="1:16" x14ac:dyDescent="0.3">
      <c r="A531" t="s">
        <v>1684</v>
      </c>
      <c r="B531" t="s">
        <v>1685</v>
      </c>
      <c r="C531" s="1">
        <v>45332</v>
      </c>
      <c r="D531" s="1">
        <v>45332</v>
      </c>
      <c r="E531">
        <v>750</v>
      </c>
      <c r="F531">
        <v>750</v>
      </c>
      <c r="G531">
        <v>0</v>
      </c>
      <c r="H531">
        <v>0</v>
      </c>
      <c r="I531" t="s">
        <v>108</v>
      </c>
      <c r="J531" t="s">
        <v>109</v>
      </c>
      <c r="K531" t="s">
        <v>19</v>
      </c>
      <c r="L531" t="s">
        <v>110</v>
      </c>
      <c r="M531">
        <v>100</v>
      </c>
      <c r="N531" t="s">
        <v>21</v>
      </c>
      <c r="O531" t="s">
        <v>22</v>
      </c>
      <c r="P531" t="s">
        <v>23</v>
      </c>
    </row>
    <row r="532" spans="1:16" x14ac:dyDescent="0.3">
      <c r="A532" t="s">
        <v>1686</v>
      </c>
      <c r="B532" t="s">
        <v>1687</v>
      </c>
      <c r="C532" s="1">
        <v>45332</v>
      </c>
      <c r="D532" s="1">
        <v>45332</v>
      </c>
      <c r="E532">
        <v>500</v>
      </c>
      <c r="F532">
        <v>500</v>
      </c>
      <c r="G532">
        <v>0</v>
      </c>
      <c r="H532">
        <v>0</v>
      </c>
      <c r="I532" t="s">
        <v>1688</v>
      </c>
      <c r="J532" t="s">
        <v>1689</v>
      </c>
      <c r="K532" t="s">
        <v>19</v>
      </c>
      <c r="L532" t="s">
        <v>20</v>
      </c>
      <c r="M532">
        <v>95</v>
      </c>
      <c r="N532" t="s">
        <v>21</v>
      </c>
      <c r="O532" t="s">
        <v>22</v>
      </c>
      <c r="P532" t="s">
        <v>23</v>
      </c>
    </row>
    <row r="533" spans="1:16" x14ac:dyDescent="0.3">
      <c r="A533" t="s">
        <v>1690</v>
      </c>
      <c r="B533" t="s">
        <v>1691</v>
      </c>
      <c r="C533" s="1">
        <v>45333</v>
      </c>
      <c r="D533" s="1">
        <v>45333</v>
      </c>
      <c r="E533">
        <v>15</v>
      </c>
      <c r="F533">
        <v>15</v>
      </c>
      <c r="G533">
        <v>0</v>
      </c>
      <c r="H533">
        <v>0</v>
      </c>
      <c r="I533" t="s">
        <v>1526</v>
      </c>
      <c r="J533" t="s">
        <v>1527</v>
      </c>
      <c r="K533" t="s">
        <v>91</v>
      </c>
      <c r="L533" t="s">
        <v>92</v>
      </c>
      <c r="M533">
        <v>85</v>
      </c>
      <c r="N533" t="s">
        <v>93</v>
      </c>
      <c r="O533" t="s">
        <v>219</v>
      </c>
      <c r="P533" t="s">
        <v>220</v>
      </c>
    </row>
    <row r="534" spans="1:16" x14ac:dyDescent="0.3">
      <c r="A534" t="s">
        <v>1692</v>
      </c>
      <c r="B534" t="s">
        <v>1693</v>
      </c>
      <c r="C534" s="1">
        <v>45333</v>
      </c>
      <c r="D534" s="1">
        <v>45333</v>
      </c>
      <c r="E534">
        <v>30</v>
      </c>
      <c r="F534">
        <v>30</v>
      </c>
      <c r="G534">
        <v>0</v>
      </c>
      <c r="H534">
        <v>0</v>
      </c>
      <c r="I534" t="s">
        <v>1694</v>
      </c>
      <c r="J534" t="s">
        <v>1695</v>
      </c>
      <c r="K534" t="s">
        <v>19</v>
      </c>
      <c r="L534" t="s">
        <v>20</v>
      </c>
      <c r="M534">
        <v>95</v>
      </c>
      <c r="N534" t="s">
        <v>21</v>
      </c>
      <c r="O534" t="s">
        <v>22</v>
      </c>
      <c r="P534" t="s">
        <v>23</v>
      </c>
    </row>
    <row r="535" spans="1:16" x14ac:dyDescent="0.3">
      <c r="A535" t="s">
        <v>1696</v>
      </c>
      <c r="B535" t="s">
        <v>1697</v>
      </c>
      <c r="C535" s="1">
        <v>45333</v>
      </c>
      <c r="D535" s="1">
        <v>45333</v>
      </c>
      <c r="E535">
        <v>200</v>
      </c>
      <c r="F535">
        <v>200</v>
      </c>
      <c r="G535">
        <v>0</v>
      </c>
      <c r="H535">
        <v>0</v>
      </c>
      <c r="I535" t="s">
        <v>1698</v>
      </c>
      <c r="J535" t="s">
        <v>1699</v>
      </c>
      <c r="K535" t="s">
        <v>19</v>
      </c>
      <c r="L535" t="s">
        <v>20</v>
      </c>
      <c r="M535">
        <v>95</v>
      </c>
      <c r="N535" t="s">
        <v>21</v>
      </c>
      <c r="O535" t="s">
        <v>22</v>
      </c>
      <c r="P535" t="s">
        <v>23</v>
      </c>
    </row>
    <row r="536" spans="1:16" x14ac:dyDescent="0.3">
      <c r="A536" t="s">
        <v>1700</v>
      </c>
      <c r="B536" t="s">
        <v>1701</v>
      </c>
      <c r="C536" s="1">
        <v>45334</v>
      </c>
      <c r="D536" s="1">
        <v>45398</v>
      </c>
      <c r="E536">
        <v>590</v>
      </c>
      <c r="F536">
        <v>600</v>
      </c>
      <c r="G536">
        <v>10</v>
      </c>
      <c r="H536">
        <v>64</v>
      </c>
      <c r="I536" t="s">
        <v>108</v>
      </c>
      <c r="J536" t="s">
        <v>109</v>
      </c>
      <c r="K536" t="s">
        <v>278</v>
      </c>
      <c r="L536" t="s">
        <v>623</v>
      </c>
      <c r="M536">
        <v>80</v>
      </c>
      <c r="N536" t="s">
        <v>93</v>
      </c>
      <c r="O536" t="s">
        <v>22</v>
      </c>
      <c r="P536" t="s">
        <v>23</v>
      </c>
    </row>
    <row r="537" spans="1:16" x14ac:dyDescent="0.3">
      <c r="A537" t="s">
        <v>1702</v>
      </c>
      <c r="B537" t="s">
        <v>1703</v>
      </c>
      <c r="C537" s="1">
        <v>45334</v>
      </c>
      <c r="D537" s="1">
        <v>45334</v>
      </c>
      <c r="E537">
        <v>10000</v>
      </c>
      <c r="F537">
        <v>10000</v>
      </c>
      <c r="G537">
        <v>0</v>
      </c>
      <c r="H537">
        <v>0</v>
      </c>
      <c r="I537" t="s">
        <v>1704</v>
      </c>
      <c r="J537" t="s">
        <v>1705</v>
      </c>
      <c r="K537" t="s">
        <v>19</v>
      </c>
      <c r="L537" t="s">
        <v>20</v>
      </c>
      <c r="M537">
        <v>95</v>
      </c>
      <c r="N537" t="s">
        <v>21</v>
      </c>
      <c r="O537" t="s">
        <v>22</v>
      </c>
      <c r="P537" t="s">
        <v>23</v>
      </c>
    </row>
    <row r="538" spans="1:16" x14ac:dyDescent="0.3">
      <c r="A538" t="s">
        <v>1706</v>
      </c>
      <c r="B538" t="s">
        <v>1707</v>
      </c>
      <c r="C538" s="1">
        <v>45334</v>
      </c>
      <c r="D538" s="1">
        <v>45334</v>
      </c>
      <c r="E538">
        <v>500</v>
      </c>
      <c r="F538">
        <v>500</v>
      </c>
      <c r="G538">
        <v>0</v>
      </c>
      <c r="H538">
        <v>0</v>
      </c>
      <c r="I538" t="s">
        <v>1708</v>
      </c>
      <c r="J538" t="s">
        <v>1709</v>
      </c>
      <c r="K538" t="s">
        <v>19</v>
      </c>
      <c r="L538" t="s">
        <v>20</v>
      </c>
      <c r="M538">
        <v>95</v>
      </c>
      <c r="N538" t="s">
        <v>21</v>
      </c>
      <c r="O538" t="s">
        <v>22</v>
      </c>
      <c r="P538" t="s">
        <v>23</v>
      </c>
    </row>
    <row r="539" spans="1:16" x14ac:dyDescent="0.3">
      <c r="A539" t="s">
        <v>1710</v>
      </c>
      <c r="B539" t="s">
        <v>1711</v>
      </c>
      <c r="C539" s="1">
        <v>45335</v>
      </c>
      <c r="D539" s="1">
        <v>45335</v>
      </c>
      <c r="E539">
        <v>10000</v>
      </c>
      <c r="F539">
        <v>10000</v>
      </c>
      <c r="G539">
        <v>0</v>
      </c>
      <c r="H539">
        <v>0</v>
      </c>
      <c r="I539" t="s">
        <v>33</v>
      </c>
      <c r="J539" t="s">
        <v>34</v>
      </c>
      <c r="K539" t="s">
        <v>19</v>
      </c>
      <c r="L539" t="s">
        <v>20</v>
      </c>
      <c r="M539">
        <v>95</v>
      </c>
      <c r="N539" t="s">
        <v>21</v>
      </c>
      <c r="O539" t="s">
        <v>22</v>
      </c>
      <c r="P539" t="s">
        <v>23</v>
      </c>
    </row>
    <row r="540" spans="1:16" x14ac:dyDescent="0.3">
      <c r="A540" t="s">
        <v>1712</v>
      </c>
      <c r="B540" t="s">
        <v>1713</v>
      </c>
      <c r="C540" s="1">
        <v>45335</v>
      </c>
      <c r="D540" s="1">
        <v>45335</v>
      </c>
      <c r="E540">
        <v>300</v>
      </c>
      <c r="F540">
        <v>300</v>
      </c>
      <c r="G540">
        <v>0</v>
      </c>
      <c r="H540">
        <v>0</v>
      </c>
      <c r="I540" t="s">
        <v>1714</v>
      </c>
      <c r="J540" t="s">
        <v>1715</v>
      </c>
      <c r="K540" t="s">
        <v>19</v>
      </c>
      <c r="L540" t="s">
        <v>20</v>
      </c>
      <c r="M540">
        <v>95</v>
      </c>
      <c r="N540" t="s">
        <v>21</v>
      </c>
      <c r="O540" t="s">
        <v>22</v>
      </c>
      <c r="P540" t="s">
        <v>23</v>
      </c>
    </row>
    <row r="541" spans="1:16" x14ac:dyDescent="0.3">
      <c r="A541" t="s">
        <v>1716</v>
      </c>
      <c r="B541" t="s">
        <v>1717</v>
      </c>
      <c r="C541" s="1">
        <v>45335</v>
      </c>
      <c r="D541" s="1">
        <v>45335</v>
      </c>
      <c r="E541">
        <v>40</v>
      </c>
      <c r="F541">
        <v>40</v>
      </c>
      <c r="G541">
        <v>0</v>
      </c>
      <c r="H541">
        <v>0</v>
      </c>
      <c r="I541" t="s">
        <v>1718</v>
      </c>
      <c r="J541" t="s">
        <v>1719</v>
      </c>
      <c r="K541" t="s">
        <v>19</v>
      </c>
      <c r="L541" t="s">
        <v>20</v>
      </c>
      <c r="M541">
        <v>95</v>
      </c>
      <c r="N541" t="s">
        <v>21</v>
      </c>
      <c r="O541" t="s">
        <v>22</v>
      </c>
      <c r="P541" t="s">
        <v>23</v>
      </c>
    </row>
    <row r="542" spans="1:16" x14ac:dyDescent="0.3">
      <c r="A542" t="s">
        <v>1720</v>
      </c>
      <c r="B542" t="s">
        <v>1721</v>
      </c>
      <c r="C542" s="1">
        <v>45335</v>
      </c>
      <c r="D542" s="1">
        <v>45335</v>
      </c>
      <c r="E542">
        <v>30</v>
      </c>
      <c r="F542">
        <v>30</v>
      </c>
      <c r="G542">
        <v>0</v>
      </c>
      <c r="H542">
        <v>0</v>
      </c>
      <c r="I542" t="s">
        <v>1722</v>
      </c>
      <c r="J542" t="s">
        <v>1723</v>
      </c>
      <c r="K542" t="s">
        <v>19</v>
      </c>
      <c r="L542" t="s">
        <v>20</v>
      </c>
      <c r="M542">
        <v>95</v>
      </c>
      <c r="N542" t="s">
        <v>21</v>
      </c>
      <c r="O542" t="s">
        <v>22</v>
      </c>
      <c r="P542" t="s">
        <v>23</v>
      </c>
    </row>
    <row r="543" spans="1:16" x14ac:dyDescent="0.3">
      <c r="A543" t="s">
        <v>1724</v>
      </c>
      <c r="B543" t="s">
        <v>1725</v>
      </c>
      <c r="C543" s="1">
        <v>45336</v>
      </c>
      <c r="D543" s="1">
        <v>45336</v>
      </c>
      <c r="E543">
        <v>50</v>
      </c>
      <c r="F543">
        <v>50</v>
      </c>
      <c r="G543">
        <v>0</v>
      </c>
      <c r="H543">
        <v>0</v>
      </c>
      <c r="I543" t="s">
        <v>108</v>
      </c>
      <c r="J543" t="s">
        <v>109</v>
      </c>
      <c r="K543" t="s">
        <v>19</v>
      </c>
      <c r="L543" t="s">
        <v>110</v>
      </c>
      <c r="M543">
        <v>100</v>
      </c>
      <c r="N543" t="s">
        <v>21</v>
      </c>
      <c r="O543" t="s">
        <v>22</v>
      </c>
      <c r="P543" t="s">
        <v>23</v>
      </c>
    </row>
    <row r="544" spans="1:16" x14ac:dyDescent="0.3">
      <c r="A544" t="s">
        <v>1726</v>
      </c>
      <c r="B544" t="s">
        <v>1727</v>
      </c>
      <c r="C544" s="1">
        <v>45336</v>
      </c>
      <c r="D544" s="1">
        <v>45336</v>
      </c>
      <c r="E544">
        <v>1</v>
      </c>
      <c r="F544">
        <v>1</v>
      </c>
      <c r="G544">
        <v>0</v>
      </c>
      <c r="H544">
        <v>0</v>
      </c>
      <c r="I544" t="s">
        <v>1728</v>
      </c>
      <c r="J544" t="s">
        <v>1729</v>
      </c>
      <c r="K544" t="s">
        <v>19</v>
      </c>
      <c r="L544" t="s">
        <v>20</v>
      </c>
      <c r="M544">
        <v>95</v>
      </c>
      <c r="N544" t="s">
        <v>21</v>
      </c>
      <c r="O544" t="s">
        <v>22</v>
      </c>
      <c r="P544" t="s">
        <v>23</v>
      </c>
    </row>
    <row r="545" spans="1:16" x14ac:dyDescent="0.3">
      <c r="A545" t="s">
        <v>1730</v>
      </c>
      <c r="B545" t="s">
        <v>1731</v>
      </c>
      <c r="C545" s="1">
        <v>45336</v>
      </c>
      <c r="D545" s="1">
        <v>45336</v>
      </c>
      <c r="E545">
        <v>2544</v>
      </c>
      <c r="F545">
        <v>2544</v>
      </c>
      <c r="G545">
        <v>0</v>
      </c>
      <c r="H545">
        <v>0</v>
      </c>
      <c r="I545" t="s">
        <v>1732</v>
      </c>
      <c r="J545" t="s">
        <v>1733</v>
      </c>
      <c r="K545" t="s">
        <v>19</v>
      </c>
      <c r="L545" t="s">
        <v>20</v>
      </c>
      <c r="M545">
        <v>95</v>
      </c>
      <c r="N545" t="s">
        <v>21</v>
      </c>
      <c r="O545" t="s">
        <v>22</v>
      </c>
      <c r="P545" t="s">
        <v>23</v>
      </c>
    </row>
    <row r="546" spans="1:16" x14ac:dyDescent="0.3">
      <c r="A546" t="s">
        <v>1734</v>
      </c>
      <c r="B546" t="s">
        <v>1735</v>
      </c>
      <c r="C546" s="1">
        <v>45336</v>
      </c>
      <c r="D546" s="1">
        <v>45336</v>
      </c>
      <c r="E546">
        <v>100</v>
      </c>
      <c r="F546">
        <v>100</v>
      </c>
      <c r="G546">
        <v>0</v>
      </c>
      <c r="H546">
        <v>0</v>
      </c>
      <c r="I546" t="s">
        <v>1736</v>
      </c>
      <c r="J546" t="s">
        <v>1737</v>
      </c>
      <c r="K546" t="s">
        <v>19</v>
      </c>
      <c r="L546" t="s">
        <v>20</v>
      </c>
      <c r="M546">
        <v>95</v>
      </c>
      <c r="N546" t="s">
        <v>21</v>
      </c>
      <c r="O546" t="s">
        <v>22</v>
      </c>
      <c r="P546" t="s">
        <v>23</v>
      </c>
    </row>
    <row r="547" spans="1:16" x14ac:dyDescent="0.3">
      <c r="A547" t="s">
        <v>1738</v>
      </c>
      <c r="B547" t="s">
        <v>1739</v>
      </c>
      <c r="C547" s="1">
        <v>45336</v>
      </c>
      <c r="D547" s="1">
        <v>45336</v>
      </c>
      <c r="E547">
        <v>60</v>
      </c>
      <c r="F547">
        <v>60</v>
      </c>
      <c r="G547">
        <v>0</v>
      </c>
      <c r="H547">
        <v>0</v>
      </c>
      <c r="I547" t="s">
        <v>1740</v>
      </c>
      <c r="J547" t="s">
        <v>1741</v>
      </c>
      <c r="K547" t="s">
        <v>19</v>
      </c>
      <c r="L547" t="s">
        <v>20</v>
      </c>
      <c r="M547">
        <v>95</v>
      </c>
      <c r="N547" t="s">
        <v>21</v>
      </c>
      <c r="O547" t="s">
        <v>22</v>
      </c>
      <c r="P547" t="s">
        <v>23</v>
      </c>
    </row>
    <row r="548" spans="1:16" x14ac:dyDescent="0.3">
      <c r="A548" t="s">
        <v>1742</v>
      </c>
      <c r="B548" t="s">
        <v>1743</v>
      </c>
      <c r="C548" s="1">
        <v>45337</v>
      </c>
      <c r="D548" s="1">
        <v>45337</v>
      </c>
      <c r="E548">
        <v>4</v>
      </c>
      <c r="F548">
        <v>4</v>
      </c>
      <c r="G548">
        <v>0</v>
      </c>
      <c r="H548">
        <v>0</v>
      </c>
      <c r="I548" t="s">
        <v>1744</v>
      </c>
      <c r="J548" t="s">
        <v>1745</v>
      </c>
      <c r="K548" t="s">
        <v>19</v>
      </c>
      <c r="L548" t="s">
        <v>20</v>
      </c>
      <c r="M548">
        <v>95</v>
      </c>
      <c r="N548" t="s">
        <v>21</v>
      </c>
      <c r="O548" t="s">
        <v>22</v>
      </c>
      <c r="P548" t="s">
        <v>23</v>
      </c>
    </row>
    <row r="549" spans="1:16" x14ac:dyDescent="0.3">
      <c r="A549" t="s">
        <v>1746</v>
      </c>
      <c r="B549" t="s">
        <v>1747</v>
      </c>
      <c r="C549" s="1">
        <v>45337</v>
      </c>
      <c r="D549" s="1">
        <v>45337</v>
      </c>
      <c r="E549">
        <v>3000</v>
      </c>
      <c r="F549">
        <v>3000</v>
      </c>
      <c r="G549">
        <v>0</v>
      </c>
      <c r="H549">
        <v>0</v>
      </c>
      <c r="I549" t="s">
        <v>1748</v>
      </c>
      <c r="J549" t="s">
        <v>1749</v>
      </c>
      <c r="K549" t="s">
        <v>19</v>
      </c>
      <c r="L549" t="s">
        <v>20</v>
      </c>
      <c r="M549">
        <v>95</v>
      </c>
      <c r="N549" t="s">
        <v>21</v>
      </c>
      <c r="O549" t="s">
        <v>22</v>
      </c>
      <c r="P549" t="s">
        <v>23</v>
      </c>
    </row>
    <row r="550" spans="1:16" x14ac:dyDescent="0.3">
      <c r="A550" t="s">
        <v>1750</v>
      </c>
      <c r="B550" t="s">
        <v>1751</v>
      </c>
      <c r="C550" s="1">
        <v>45338</v>
      </c>
      <c r="D550" s="1">
        <v>45338</v>
      </c>
      <c r="E550">
        <v>40</v>
      </c>
      <c r="F550">
        <v>40</v>
      </c>
      <c r="G550">
        <v>0</v>
      </c>
      <c r="H550">
        <v>0</v>
      </c>
      <c r="I550" t="s">
        <v>1752</v>
      </c>
      <c r="J550" t="s">
        <v>1753</v>
      </c>
      <c r="K550" t="s">
        <v>19</v>
      </c>
      <c r="L550" t="s">
        <v>20</v>
      </c>
      <c r="M550">
        <v>95</v>
      </c>
      <c r="N550" t="s">
        <v>21</v>
      </c>
      <c r="O550" t="s">
        <v>22</v>
      </c>
      <c r="P550" t="s">
        <v>23</v>
      </c>
    </row>
    <row r="551" spans="1:16" x14ac:dyDescent="0.3">
      <c r="A551" t="s">
        <v>1754</v>
      </c>
      <c r="B551" t="s">
        <v>1755</v>
      </c>
      <c r="C551" s="1">
        <v>45338</v>
      </c>
      <c r="D551" s="1">
        <v>45338</v>
      </c>
      <c r="E551">
        <v>15</v>
      </c>
      <c r="F551">
        <v>15</v>
      </c>
      <c r="G551">
        <v>0</v>
      </c>
      <c r="H551">
        <v>0</v>
      </c>
      <c r="I551" t="s">
        <v>719</v>
      </c>
      <c r="J551" t="s">
        <v>720</v>
      </c>
      <c r="K551" t="s">
        <v>19</v>
      </c>
      <c r="L551" t="s">
        <v>20</v>
      </c>
      <c r="M551">
        <v>95</v>
      </c>
      <c r="N551" t="s">
        <v>21</v>
      </c>
      <c r="O551" t="s">
        <v>22</v>
      </c>
      <c r="P551" t="s">
        <v>23</v>
      </c>
    </row>
    <row r="552" spans="1:16" x14ac:dyDescent="0.3">
      <c r="A552" t="s">
        <v>1756</v>
      </c>
      <c r="B552" t="s">
        <v>1757</v>
      </c>
      <c r="C552" s="1">
        <v>45338</v>
      </c>
      <c r="D552" s="1">
        <v>45338</v>
      </c>
      <c r="E552">
        <v>180</v>
      </c>
      <c r="F552">
        <v>180</v>
      </c>
      <c r="G552">
        <v>0</v>
      </c>
      <c r="H552">
        <v>0</v>
      </c>
      <c r="I552" t="s">
        <v>1758</v>
      </c>
      <c r="J552" t="s">
        <v>1759</v>
      </c>
      <c r="K552" t="s">
        <v>19</v>
      </c>
      <c r="L552" t="s">
        <v>20</v>
      </c>
      <c r="M552">
        <v>95</v>
      </c>
      <c r="N552" t="s">
        <v>21</v>
      </c>
      <c r="O552" t="s">
        <v>22</v>
      </c>
      <c r="P552" t="s">
        <v>23</v>
      </c>
    </row>
    <row r="553" spans="1:16" x14ac:dyDescent="0.3">
      <c r="A553" t="s">
        <v>1760</v>
      </c>
      <c r="B553" t="s">
        <v>1761</v>
      </c>
      <c r="C553" s="1">
        <v>45339</v>
      </c>
      <c r="D553" s="1">
        <v>45339</v>
      </c>
      <c r="E553">
        <v>241</v>
      </c>
      <c r="F553">
        <v>240.9</v>
      </c>
      <c r="G553">
        <v>0</v>
      </c>
      <c r="H553">
        <v>0</v>
      </c>
      <c r="I553" t="s">
        <v>1526</v>
      </c>
      <c r="J553" t="s">
        <v>1527</v>
      </c>
      <c r="K553" t="s">
        <v>19</v>
      </c>
      <c r="L553" t="s">
        <v>20</v>
      </c>
      <c r="M553">
        <v>95</v>
      </c>
      <c r="N553" t="s">
        <v>21</v>
      </c>
      <c r="O553" t="s">
        <v>22</v>
      </c>
      <c r="P553" t="s">
        <v>23</v>
      </c>
    </row>
    <row r="554" spans="1:16" x14ac:dyDescent="0.3">
      <c r="A554" t="s">
        <v>1762</v>
      </c>
      <c r="B554" t="s">
        <v>1763</v>
      </c>
      <c r="C554" s="1">
        <v>45339</v>
      </c>
      <c r="D554" s="1">
        <v>45339</v>
      </c>
      <c r="E554">
        <v>2500</v>
      </c>
      <c r="F554">
        <v>2500</v>
      </c>
      <c r="G554">
        <v>0</v>
      </c>
      <c r="H554">
        <v>0</v>
      </c>
      <c r="I554" t="s">
        <v>1764</v>
      </c>
      <c r="J554" t="s">
        <v>1765</v>
      </c>
      <c r="K554" t="s">
        <v>19</v>
      </c>
      <c r="L554" t="s">
        <v>20</v>
      </c>
      <c r="M554">
        <v>95</v>
      </c>
      <c r="N554" t="s">
        <v>21</v>
      </c>
      <c r="O554" t="s">
        <v>22</v>
      </c>
      <c r="P554" t="s">
        <v>23</v>
      </c>
    </row>
    <row r="555" spans="1:16" x14ac:dyDescent="0.3">
      <c r="A555" t="s">
        <v>1766</v>
      </c>
      <c r="B555" t="s">
        <v>1767</v>
      </c>
      <c r="C555" s="1">
        <v>45340</v>
      </c>
      <c r="D555" s="1">
        <v>45340</v>
      </c>
      <c r="E555">
        <v>440</v>
      </c>
      <c r="F555">
        <v>440</v>
      </c>
      <c r="G555">
        <v>0</v>
      </c>
      <c r="H555">
        <v>0</v>
      </c>
      <c r="I555" t="s">
        <v>108</v>
      </c>
      <c r="J555" t="s">
        <v>109</v>
      </c>
      <c r="K555" t="s">
        <v>19</v>
      </c>
      <c r="L555" t="s">
        <v>110</v>
      </c>
      <c r="M555">
        <v>100</v>
      </c>
      <c r="N555" t="s">
        <v>21</v>
      </c>
      <c r="O555" t="s">
        <v>22</v>
      </c>
      <c r="P555" t="s">
        <v>23</v>
      </c>
    </row>
    <row r="556" spans="1:16" x14ac:dyDescent="0.3">
      <c r="A556" t="s">
        <v>1768</v>
      </c>
      <c r="B556" t="s">
        <v>1769</v>
      </c>
      <c r="C556" s="1">
        <v>45341</v>
      </c>
      <c r="D556" s="1">
        <v>45341</v>
      </c>
      <c r="E556">
        <v>80</v>
      </c>
      <c r="F556">
        <v>80</v>
      </c>
      <c r="G556">
        <v>0</v>
      </c>
      <c r="H556">
        <v>0</v>
      </c>
      <c r="I556" t="s">
        <v>1770</v>
      </c>
      <c r="J556" t="s">
        <v>1771</v>
      </c>
      <c r="K556" t="s">
        <v>19</v>
      </c>
      <c r="L556" t="s">
        <v>20</v>
      </c>
      <c r="M556">
        <v>95</v>
      </c>
      <c r="N556" t="s">
        <v>21</v>
      </c>
      <c r="O556" t="s">
        <v>22</v>
      </c>
      <c r="P556" t="s">
        <v>23</v>
      </c>
    </row>
    <row r="557" spans="1:16" x14ac:dyDescent="0.3">
      <c r="A557" t="s">
        <v>1772</v>
      </c>
      <c r="B557" t="s">
        <v>1773</v>
      </c>
      <c r="C557" s="1">
        <v>45341</v>
      </c>
      <c r="D557" s="1">
        <v>45341</v>
      </c>
      <c r="E557">
        <v>40</v>
      </c>
      <c r="F557">
        <v>40</v>
      </c>
      <c r="G557">
        <v>0</v>
      </c>
      <c r="H557">
        <v>0</v>
      </c>
      <c r="I557" t="s">
        <v>1774</v>
      </c>
      <c r="J557" t="s">
        <v>1775</v>
      </c>
      <c r="K557" t="s">
        <v>19</v>
      </c>
      <c r="L557" t="s">
        <v>20</v>
      </c>
      <c r="M557">
        <v>95</v>
      </c>
      <c r="N557" t="s">
        <v>21</v>
      </c>
      <c r="O557" t="s">
        <v>22</v>
      </c>
      <c r="P557" t="s">
        <v>23</v>
      </c>
    </row>
    <row r="558" spans="1:16" x14ac:dyDescent="0.3">
      <c r="A558" t="s">
        <v>1776</v>
      </c>
      <c r="B558" t="s">
        <v>1777</v>
      </c>
      <c r="C558" s="1">
        <v>45341</v>
      </c>
      <c r="D558" s="1">
        <v>45341</v>
      </c>
      <c r="E558">
        <v>40</v>
      </c>
      <c r="F558">
        <v>40</v>
      </c>
      <c r="G558">
        <v>0</v>
      </c>
      <c r="H558">
        <v>0</v>
      </c>
      <c r="I558" t="s">
        <v>1774</v>
      </c>
      <c r="J558" t="s">
        <v>1775</v>
      </c>
      <c r="K558" t="s">
        <v>19</v>
      </c>
      <c r="L558" t="s">
        <v>20</v>
      </c>
      <c r="M558">
        <v>95</v>
      </c>
      <c r="N558" t="s">
        <v>21</v>
      </c>
      <c r="O558" t="s">
        <v>22</v>
      </c>
      <c r="P558" t="s">
        <v>23</v>
      </c>
    </row>
    <row r="559" spans="1:16" x14ac:dyDescent="0.3">
      <c r="A559" t="s">
        <v>1778</v>
      </c>
      <c r="B559" t="s">
        <v>1779</v>
      </c>
      <c r="C559" s="1">
        <v>45341</v>
      </c>
      <c r="D559" s="1">
        <v>45341</v>
      </c>
      <c r="E559">
        <v>10</v>
      </c>
      <c r="F559">
        <v>10</v>
      </c>
      <c r="G559">
        <v>0</v>
      </c>
      <c r="H559">
        <v>0</v>
      </c>
      <c r="I559" t="s">
        <v>81</v>
      </c>
      <c r="J559" t="s">
        <v>82</v>
      </c>
      <c r="K559" t="s">
        <v>19</v>
      </c>
      <c r="L559" t="s">
        <v>20</v>
      </c>
      <c r="M559">
        <v>95</v>
      </c>
      <c r="N559" t="s">
        <v>21</v>
      </c>
      <c r="O559" t="s">
        <v>22</v>
      </c>
      <c r="P559" t="s">
        <v>23</v>
      </c>
    </row>
    <row r="560" spans="1:16" x14ac:dyDescent="0.3">
      <c r="A560" t="s">
        <v>1780</v>
      </c>
      <c r="B560" t="s">
        <v>1781</v>
      </c>
      <c r="C560" s="1">
        <v>45342</v>
      </c>
      <c r="D560" s="1">
        <v>45342</v>
      </c>
      <c r="E560">
        <v>100</v>
      </c>
      <c r="F560">
        <v>100</v>
      </c>
      <c r="G560">
        <v>0</v>
      </c>
      <c r="H560">
        <v>0</v>
      </c>
      <c r="I560" t="s">
        <v>1782</v>
      </c>
      <c r="J560" t="s">
        <v>1783</v>
      </c>
      <c r="K560" t="s">
        <v>19</v>
      </c>
      <c r="L560" t="s">
        <v>20</v>
      </c>
      <c r="M560">
        <v>95</v>
      </c>
      <c r="N560" t="s">
        <v>21</v>
      </c>
      <c r="O560" t="s">
        <v>22</v>
      </c>
      <c r="P560" t="s">
        <v>23</v>
      </c>
    </row>
    <row r="561" spans="1:16" x14ac:dyDescent="0.3">
      <c r="A561" t="s">
        <v>1784</v>
      </c>
      <c r="B561" t="s">
        <v>1785</v>
      </c>
      <c r="C561" s="1">
        <v>45342</v>
      </c>
      <c r="D561" s="1">
        <v>45342</v>
      </c>
      <c r="E561">
        <v>290</v>
      </c>
      <c r="F561">
        <v>290</v>
      </c>
      <c r="G561">
        <v>0</v>
      </c>
      <c r="H561">
        <v>0</v>
      </c>
      <c r="I561" t="s">
        <v>96</v>
      </c>
      <c r="J561" t="s">
        <v>97</v>
      </c>
      <c r="K561" t="s">
        <v>19</v>
      </c>
      <c r="L561" t="s">
        <v>20</v>
      </c>
      <c r="M561">
        <v>95</v>
      </c>
      <c r="N561" t="s">
        <v>21</v>
      </c>
      <c r="O561" t="s">
        <v>22</v>
      </c>
      <c r="P561" t="s">
        <v>23</v>
      </c>
    </row>
    <row r="562" spans="1:16" x14ac:dyDescent="0.3">
      <c r="A562" t="s">
        <v>1786</v>
      </c>
      <c r="B562" t="s">
        <v>1787</v>
      </c>
      <c r="C562" s="1">
        <v>45343</v>
      </c>
      <c r="D562" s="1">
        <v>45343</v>
      </c>
      <c r="E562">
        <v>130</v>
      </c>
      <c r="F562">
        <v>130</v>
      </c>
      <c r="G562">
        <v>0</v>
      </c>
      <c r="H562">
        <v>0</v>
      </c>
      <c r="I562" t="s">
        <v>358</v>
      </c>
      <c r="J562" t="s">
        <v>359</v>
      </c>
      <c r="K562" t="s">
        <v>19</v>
      </c>
      <c r="L562" t="s">
        <v>20</v>
      </c>
      <c r="M562">
        <v>95</v>
      </c>
      <c r="N562" t="s">
        <v>21</v>
      </c>
      <c r="O562" t="s">
        <v>22</v>
      </c>
      <c r="P562" t="s">
        <v>23</v>
      </c>
    </row>
    <row r="563" spans="1:16" x14ac:dyDescent="0.3">
      <c r="A563" t="s">
        <v>1788</v>
      </c>
      <c r="B563" t="s">
        <v>1789</v>
      </c>
      <c r="C563" s="1">
        <v>45344</v>
      </c>
      <c r="D563" s="1">
        <v>45344</v>
      </c>
      <c r="E563">
        <v>3600</v>
      </c>
      <c r="F563">
        <v>3600</v>
      </c>
      <c r="G563">
        <v>0</v>
      </c>
      <c r="H563">
        <v>0</v>
      </c>
      <c r="I563" t="s">
        <v>108</v>
      </c>
      <c r="J563" t="s">
        <v>109</v>
      </c>
      <c r="K563" t="s">
        <v>19</v>
      </c>
      <c r="L563" t="s">
        <v>110</v>
      </c>
      <c r="M563">
        <v>100</v>
      </c>
      <c r="N563" t="s">
        <v>21</v>
      </c>
      <c r="O563" t="s">
        <v>22</v>
      </c>
      <c r="P563" t="s">
        <v>23</v>
      </c>
    </row>
    <row r="564" spans="1:16" x14ac:dyDescent="0.3">
      <c r="A564" t="s">
        <v>1790</v>
      </c>
      <c r="B564" t="s">
        <v>1791</v>
      </c>
      <c r="C564" s="1">
        <v>45344</v>
      </c>
      <c r="D564" s="1">
        <v>45344</v>
      </c>
      <c r="E564">
        <v>40</v>
      </c>
      <c r="F564">
        <v>40</v>
      </c>
      <c r="G564">
        <v>0</v>
      </c>
      <c r="H564">
        <v>0</v>
      </c>
      <c r="I564" t="s">
        <v>1792</v>
      </c>
      <c r="J564" t="s">
        <v>1793</v>
      </c>
      <c r="K564" t="s">
        <v>19</v>
      </c>
      <c r="L564" t="s">
        <v>20</v>
      </c>
      <c r="M564">
        <v>95</v>
      </c>
      <c r="N564" t="s">
        <v>21</v>
      </c>
      <c r="O564" t="s">
        <v>22</v>
      </c>
      <c r="P564" t="s">
        <v>23</v>
      </c>
    </row>
    <row r="565" spans="1:16" x14ac:dyDescent="0.3">
      <c r="A565" t="s">
        <v>1794</v>
      </c>
      <c r="B565" t="s">
        <v>1795</v>
      </c>
      <c r="C565" s="1">
        <v>45344</v>
      </c>
      <c r="D565" s="1">
        <v>45344</v>
      </c>
      <c r="E565">
        <v>25</v>
      </c>
      <c r="F565">
        <v>25</v>
      </c>
      <c r="G565">
        <v>0</v>
      </c>
      <c r="H565">
        <v>0</v>
      </c>
      <c r="I565" t="s">
        <v>96</v>
      </c>
      <c r="J565" t="s">
        <v>97</v>
      </c>
      <c r="K565" t="s">
        <v>19</v>
      </c>
      <c r="L565" t="s">
        <v>20</v>
      </c>
      <c r="M565">
        <v>95</v>
      </c>
      <c r="N565" t="s">
        <v>21</v>
      </c>
      <c r="O565" t="s">
        <v>22</v>
      </c>
      <c r="P565" t="s">
        <v>23</v>
      </c>
    </row>
    <row r="566" spans="1:16" x14ac:dyDescent="0.3">
      <c r="A566" t="s">
        <v>1796</v>
      </c>
      <c r="B566" t="s">
        <v>1797</v>
      </c>
      <c r="C566" s="1">
        <v>45344</v>
      </c>
      <c r="D566" s="1">
        <v>45344</v>
      </c>
      <c r="E566">
        <v>15</v>
      </c>
      <c r="F566">
        <v>15</v>
      </c>
      <c r="G566">
        <v>0</v>
      </c>
      <c r="H566">
        <v>0</v>
      </c>
      <c r="I566" t="s">
        <v>1526</v>
      </c>
      <c r="J566" t="s">
        <v>1527</v>
      </c>
      <c r="K566" t="s">
        <v>19</v>
      </c>
      <c r="L566" t="s">
        <v>20</v>
      </c>
      <c r="M566">
        <v>95</v>
      </c>
      <c r="N566" t="s">
        <v>21</v>
      </c>
      <c r="O566" t="s">
        <v>22</v>
      </c>
      <c r="P566" t="s">
        <v>23</v>
      </c>
    </row>
    <row r="567" spans="1:16" x14ac:dyDescent="0.3">
      <c r="A567" t="s">
        <v>1798</v>
      </c>
      <c r="B567" t="s">
        <v>1799</v>
      </c>
      <c r="C567" s="1">
        <v>45344</v>
      </c>
      <c r="D567" s="1">
        <v>45344</v>
      </c>
      <c r="E567">
        <v>19</v>
      </c>
      <c r="F567">
        <v>19</v>
      </c>
      <c r="G567">
        <v>0</v>
      </c>
      <c r="H567">
        <v>0</v>
      </c>
      <c r="I567" t="s">
        <v>719</v>
      </c>
      <c r="J567" t="s">
        <v>720</v>
      </c>
      <c r="K567" t="s">
        <v>19</v>
      </c>
      <c r="L567" t="s">
        <v>20</v>
      </c>
      <c r="M567">
        <v>95</v>
      </c>
      <c r="N567" t="s">
        <v>21</v>
      </c>
      <c r="O567" t="s">
        <v>22</v>
      </c>
      <c r="P567" t="s">
        <v>23</v>
      </c>
    </row>
    <row r="568" spans="1:16" x14ac:dyDescent="0.3">
      <c r="A568" t="s">
        <v>1800</v>
      </c>
      <c r="B568" t="s">
        <v>1801</v>
      </c>
      <c r="C568" s="1">
        <v>45345</v>
      </c>
      <c r="D568" s="1">
        <v>45345</v>
      </c>
      <c r="E568">
        <v>200</v>
      </c>
      <c r="F568">
        <v>200</v>
      </c>
      <c r="G568">
        <v>0</v>
      </c>
      <c r="H568">
        <v>0</v>
      </c>
      <c r="I568" t="s">
        <v>1802</v>
      </c>
      <c r="J568" t="s">
        <v>1803</v>
      </c>
      <c r="K568" t="s">
        <v>19</v>
      </c>
      <c r="L568" t="s">
        <v>20</v>
      </c>
      <c r="M568">
        <v>95</v>
      </c>
      <c r="N568" t="s">
        <v>21</v>
      </c>
      <c r="O568" t="s">
        <v>22</v>
      </c>
      <c r="P568" t="s">
        <v>23</v>
      </c>
    </row>
    <row r="569" spans="1:16" x14ac:dyDescent="0.3">
      <c r="A569" t="s">
        <v>1804</v>
      </c>
      <c r="B569" t="s">
        <v>1805</v>
      </c>
      <c r="C569" s="1">
        <v>45345</v>
      </c>
      <c r="D569" s="1">
        <v>45422</v>
      </c>
      <c r="E569">
        <v>20</v>
      </c>
      <c r="F569">
        <v>20</v>
      </c>
      <c r="G569">
        <v>0</v>
      </c>
      <c r="H569">
        <v>77</v>
      </c>
      <c r="I569" t="s">
        <v>81</v>
      </c>
      <c r="J569" t="s">
        <v>82</v>
      </c>
      <c r="K569" t="s">
        <v>91</v>
      </c>
      <c r="L569" t="s">
        <v>1806</v>
      </c>
      <c r="M569">
        <v>60</v>
      </c>
      <c r="N569" t="s">
        <v>164</v>
      </c>
      <c r="O569" t="s">
        <v>22</v>
      </c>
      <c r="P569" t="s">
        <v>23</v>
      </c>
    </row>
    <row r="570" spans="1:16" x14ac:dyDescent="0.3">
      <c r="A570" t="s">
        <v>1807</v>
      </c>
      <c r="B570" t="s">
        <v>1808</v>
      </c>
      <c r="C570" s="1">
        <v>45345</v>
      </c>
      <c r="D570" s="1">
        <v>45345</v>
      </c>
      <c r="E570">
        <v>40</v>
      </c>
      <c r="F570">
        <v>40</v>
      </c>
      <c r="G570">
        <v>0</v>
      </c>
      <c r="H570">
        <v>0</v>
      </c>
      <c r="I570" t="s">
        <v>96</v>
      </c>
      <c r="J570" t="s">
        <v>97</v>
      </c>
      <c r="K570" t="s">
        <v>19</v>
      </c>
      <c r="L570" t="s">
        <v>20</v>
      </c>
      <c r="M570">
        <v>95</v>
      </c>
      <c r="N570" t="s">
        <v>21</v>
      </c>
      <c r="O570" t="s">
        <v>22</v>
      </c>
      <c r="P570" t="s">
        <v>23</v>
      </c>
    </row>
    <row r="571" spans="1:16" x14ac:dyDescent="0.3">
      <c r="A571" t="s">
        <v>1809</v>
      </c>
      <c r="B571" t="s">
        <v>1810</v>
      </c>
      <c r="C571" s="1">
        <v>45346</v>
      </c>
      <c r="D571" s="1">
        <v>45346</v>
      </c>
      <c r="E571">
        <v>35</v>
      </c>
      <c r="F571">
        <v>35</v>
      </c>
      <c r="G571">
        <v>0</v>
      </c>
      <c r="H571">
        <v>0</v>
      </c>
      <c r="I571" t="s">
        <v>1811</v>
      </c>
      <c r="J571" t="s">
        <v>1812</v>
      </c>
      <c r="K571" t="s">
        <v>19</v>
      </c>
      <c r="L571" t="s">
        <v>20</v>
      </c>
      <c r="M571">
        <v>95</v>
      </c>
      <c r="N571" t="s">
        <v>21</v>
      </c>
      <c r="O571" t="s">
        <v>22</v>
      </c>
      <c r="P571" t="s">
        <v>23</v>
      </c>
    </row>
    <row r="572" spans="1:16" x14ac:dyDescent="0.3">
      <c r="A572" t="s">
        <v>1813</v>
      </c>
      <c r="B572" t="s">
        <v>1814</v>
      </c>
      <c r="C572" s="1">
        <v>45346</v>
      </c>
      <c r="D572" s="1">
        <v>45346</v>
      </c>
      <c r="E572">
        <v>20000</v>
      </c>
      <c r="F572">
        <v>20000</v>
      </c>
      <c r="G572">
        <v>0</v>
      </c>
      <c r="H572">
        <v>0</v>
      </c>
      <c r="I572" t="s">
        <v>1815</v>
      </c>
      <c r="J572" t="s">
        <v>1816</v>
      </c>
      <c r="K572" t="s">
        <v>19</v>
      </c>
      <c r="L572" t="s">
        <v>20</v>
      </c>
      <c r="M572">
        <v>95</v>
      </c>
      <c r="N572" t="s">
        <v>21</v>
      </c>
      <c r="O572" t="s">
        <v>22</v>
      </c>
      <c r="P572" t="s">
        <v>23</v>
      </c>
    </row>
    <row r="573" spans="1:16" x14ac:dyDescent="0.3">
      <c r="A573" t="s">
        <v>1817</v>
      </c>
      <c r="B573" t="s">
        <v>1818</v>
      </c>
      <c r="C573" s="1">
        <v>45346</v>
      </c>
      <c r="D573" s="1">
        <v>45346</v>
      </c>
      <c r="E573">
        <v>200</v>
      </c>
      <c r="F573">
        <v>200</v>
      </c>
      <c r="G573">
        <v>0</v>
      </c>
      <c r="H573">
        <v>0</v>
      </c>
      <c r="I573" t="s">
        <v>1819</v>
      </c>
      <c r="J573" t="s">
        <v>1820</v>
      </c>
      <c r="K573" t="s">
        <v>19</v>
      </c>
      <c r="L573" t="s">
        <v>20</v>
      </c>
      <c r="M573">
        <v>95</v>
      </c>
      <c r="N573" t="s">
        <v>21</v>
      </c>
      <c r="O573" t="s">
        <v>22</v>
      </c>
      <c r="P573" t="s">
        <v>23</v>
      </c>
    </row>
    <row r="574" spans="1:16" x14ac:dyDescent="0.3">
      <c r="A574" t="s">
        <v>1821</v>
      </c>
      <c r="B574" t="s">
        <v>1822</v>
      </c>
      <c r="C574" s="1">
        <v>45347</v>
      </c>
      <c r="D574" s="1">
        <v>45347</v>
      </c>
      <c r="E574">
        <v>20000</v>
      </c>
      <c r="F574">
        <v>20000</v>
      </c>
      <c r="G574">
        <v>0</v>
      </c>
      <c r="H574">
        <v>0</v>
      </c>
      <c r="I574" t="s">
        <v>1823</v>
      </c>
      <c r="J574" t="s">
        <v>1824</v>
      </c>
      <c r="K574" t="s">
        <v>19</v>
      </c>
      <c r="L574" t="s">
        <v>20</v>
      </c>
      <c r="M574">
        <v>95</v>
      </c>
      <c r="N574" t="s">
        <v>21</v>
      </c>
      <c r="O574" t="s">
        <v>22</v>
      </c>
      <c r="P574" t="s">
        <v>23</v>
      </c>
    </row>
    <row r="575" spans="1:16" x14ac:dyDescent="0.3">
      <c r="A575" t="s">
        <v>1825</v>
      </c>
      <c r="B575" t="s">
        <v>1826</v>
      </c>
      <c r="C575" s="1">
        <v>45347</v>
      </c>
      <c r="D575" s="1">
        <v>45347</v>
      </c>
      <c r="E575">
        <v>100</v>
      </c>
      <c r="F575">
        <v>100</v>
      </c>
      <c r="G575">
        <v>0</v>
      </c>
      <c r="H575">
        <v>0</v>
      </c>
      <c r="I575" t="s">
        <v>1827</v>
      </c>
      <c r="J575" t="s">
        <v>1828</v>
      </c>
      <c r="K575" t="s">
        <v>19</v>
      </c>
      <c r="L575" t="s">
        <v>20</v>
      </c>
      <c r="M575">
        <v>95</v>
      </c>
      <c r="N575" t="s">
        <v>21</v>
      </c>
      <c r="O575" t="s">
        <v>22</v>
      </c>
      <c r="P575" t="s">
        <v>23</v>
      </c>
    </row>
    <row r="576" spans="1:16" x14ac:dyDescent="0.3">
      <c r="A576" t="s">
        <v>1829</v>
      </c>
      <c r="B576" t="s">
        <v>1830</v>
      </c>
      <c r="C576" s="1">
        <v>45347</v>
      </c>
      <c r="D576" s="1">
        <v>45347</v>
      </c>
      <c r="E576">
        <v>100</v>
      </c>
      <c r="F576">
        <v>100</v>
      </c>
      <c r="G576">
        <v>0</v>
      </c>
      <c r="H576">
        <v>0</v>
      </c>
      <c r="I576" t="s">
        <v>1831</v>
      </c>
      <c r="J576" t="s">
        <v>1832</v>
      </c>
      <c r="K576" t="s">
        <v>19</v>
      </c>
      <c r="L576" t="s">
        <v>20</v>
      </c>
      <c r="M576">
        <v>95</v>
      </c>
      <c r="N576" t="s">
        <v>21</v>
      </c>
      <c r="O576" t="s">
        <v>22</v>
      </c>
      <c r="P576" t="s">
        <v>23</v>
      </c>
    </row>
    <row r="577" spans="1:16" x14ac:dyDescent="0.3">
      <c r="A577" t="s">
        <v>1833</v>
      </c>
      <c r="B577" t="s">
        <v>1834</v>
      </c>
      <c r="C577" s="1">
        <v>45347</v>
      </c>
      <c r="D577" s="1">
        <v>45347</v>
      </c>
      <c r="E577">
        <v>19</v>
      </c>
      <c r="F577">
        <v>19</v>
      </c>
      <c r="G577">
        <v>0</v>
      </c>
      <c r="H577">
        <v>0</v>
      </c>
      <c r="I577" t="s">
        <v>719</v>
      </c>
      <c r="J577" t="s">
        <v>720</v>
      </c>
      <c r="K577" t="s">
        <v>19</v>
      </c>
      <c r="L577" t="s">
        <v>20</v>
      </c>
      <c r="M577">
        <v>95</v>
      </c>
      <c r="N577" t="s">
        <v>21</v>
      </c>
      <c r="O577" t="s">
        <v>22</v>
      </c>
      <c r="P577" t="s">
        <v>23</v>
      </c>
    </row>
    <row r="578" spans="1:16" x14ac:dyDescent="0.3">
      <c r="A578" t="s">
        <v>1835</v>
      </c>
      <c r="B578" t="s">
        <v>1836</v>
      </c>
      <c r="C578" s="1">
        <v>45347</v>
      </c>
      <c r="D578" s="1">
        <v>45347</v>
      </c>
      <c r="E578">
        <v>20000</v>
      </c>
      <c r="F578">
        <v>20000</v>
      </c>
      <c r="G578">
        <v>0</v>
      </c>
      <c r="H578">
        <v>0</v>
      </c>
      <c r="I578" t="s">
        <v>1837</v>
      </c>
      <c r="J578" t="s">
        <v>1838</v>
      </c>
      <c r="K578" t="s">
        <v>19</v>
      </c>
      <c r="L578" t="s">
        <v>20</v>
      </c>
      <c r="M578">
        <v>95</v>
      </c>
      <c r="N578" t="s">
        <v>21</v>
      </c>
      <c r="O578" t="s">
        <v>22</v>
      </c>
      <c r="P578" t="s">
        <v>23</v>
      </c>
    </row>
    <row r="579" spans="1:16" x14ac:dyDescent="0.3">
      <c r="A579" t="s">
        <v>1839</v>
      </c>
      <c r="B579" t="s">
        <v>1840</v>
      </c>
      <c r="C579" s="1">
        <v>45348</v>
      </c>
      <c r="D579" s="1">
        <v>45348</v>
      </c>
      <c r="E579">
        <v>60</v>
      </c>
      <c r="F579">
        <v>60</v>
      </c>
      <c r="G579">
        <v>0</v>
      </c>
      <c r="H579">
        <v>0</v>
      </c>
      <c r="I579" t="s">
        <v>1841</v>
      </c>
      <c r="J579" t="s">
        <v>1842</v>
      </c>
      <c r="K579" t="s">
        <v>19</v>
      </c>
      <c r="L579" t="s">
        <v>20</v>
      </c>
      <c r="M579">
        <v>95</v>
      </c>
      <c r="N579" t="s">
        <v>21</v>
      </c>
      <c r="O579" t="s">
        <v>22</v>
      </c>
      <c r="P579" t="s">
        <v>23</v>
      </c>
    </row>
    <row r="580" spans="1:16" x14ac:dyDescent="0.3">
      <c r="A580" t="s">
        <v>1843</v>
      </c>
      <c r="B580" t="s">
        <v>1844</v>
      </c>
      <c r="C580" s="1">
        <v>45349</v>
      </c>
      <c r="D580" s="1">
        <v>45349</v>
      </c>
      <c r="E580">
        <v>10</v>
      </c>
      <c r="F580">
        <v>10</v>
      </c>
      <c r="G580">
        <v>0</v>
      </c>
      <c r="H580">
        <v>0</v>
      </c>
      <c r="I580" t="s">
        <v>81</v>
      </c>
      <c r="J580" t="s">
        <v>82</v>
      </c>
      <c r="K580" t="s">
        <v>19</v>
      </c>
      <c r="L580" t="s">
        <v>20</v>
      </c>
      <c r="M580">
        <v>95</v>
      </c>
      <c r="N580" t="s">
        <v>21</v>
      </c>
      <c r="O580" t="s">
        <v>22</v>
      </c>
      <c r="P580" t="s">
        <v>23</v>
      </c>
    </row>
    <row r="581" spans="1:16" x14ac:dyDescent="0.3">
      <c r="A581" t="s">
        <v>1845</v>
      </c>
      <c r="B581" t="s">
        <v>1846</v>
      </c>
      <c r="C581" s="1">
        <v>45350</v>
      </c>
      <c r="D581" s="1">
        <v>45350</v>
      </c>
      <c r="E581">
        <v>100</v>
      </c>
      <c r="F581">
        <v>100</v>
      </c>
      <c r="G581">
        <v>0</v>
      </c>
      <c r="H581">
        <v>0</v>
      </c>
      <c r="I581" t="s">
        <v>1847</v>
      </c>
      <c r="J581" t="s">
        <v>1848</v>
      </c>
      <c r="K581" t="s">
        <v>19</v>
      </c>
      <c r="L581" t="s">
        <v>20</v>
      </c>
      <c r="M581">
        <v>95</v>
      </c>
      <c r="N581" t="s">
        <v>21</v>
      </c>
      <c r="O581" t="s">
        <v>22</v>
      </c>
      <c r="P581" t="s">
        <v>23</v>
      </c>
    </row>
    <row r="582" spans="1:16" x14ac:dyDescent="0.3">
      <c r="A582" t="s">
        <v>1849</v>
      </c>
      <c r="B582" t="s">
        <v>1850</v>
      </c>
      <c r="C582" s="1">
        <v>45350</v>
      </c>
      <c r="D582" s="1">
        <v>45350</v>
      </c>
      <c r="E582">
        <v>50</v>
      </c>
      <c r="F582">
        <v>50</v>
      </c>
      <c r="G582">
        <v>0</v>
      </c>
      <c r="H582">
        <v>0</v>
      </c>
      <c r="I582" t="s">
        <v>1851</v>
      </c>
      <c r="J582" t="s">
        <v>1852</v>
      </c>
      <c r="K582" t="s">
        <v>19</v>
      </c>
      <c r="L582" t="s">
        <v>20</v>
      </c>
      <c r="M582">
        <v>95</v>
      </c>
      <c r="N582" t="s">
        <v>21</v>
      </c>
      <c r="O582" t="s">
        <v>22</v>
      </c>
      <c r="P582" t="s">
        <v>23</v>
      </c>
    </row>
    <row r="583" spans="1:16" x14ac:dyDescent="0.3">
      <c r="A583" t="s">
        <v>1853</v>
      </c>
      <c r="B583" t="s">
        <v>1854</v>
      </c>
      <c r="C583" s="1">
        <v>45350</v>
      </c>
      <c r="D583" s="1">
        <v>45350</v>
      </c>
      <c r="E583">
        <v>140</v>
      </c>
      <c r="F583">
        <v>140</v>
      </c>
      <c r="G583">
        <v>0</v>
      </c>
      <c r="H583">
        <v>0</v>
      </c>
      <c r="I583" t="s">
        <v>96</v>
      </c>
      <c r="J583" t="s">
        <v>97</v>
      </c>
      <c r="K583" t="s">
        <v>19</v>
      </c>
      <c r="L583" t="s">
        <v>20</v>
      </c>
      <c r="M583">
        <v>95</v>
      </c>
      <c r="N583" t="s">
        <v>21</v>
      </c>
      <c r="O583" t="s">
        <v>22</v>
      </c>
      <c r="P583" t="s">
        <v>23</v>
      </c>
    </row>
    <row r="584" spans="1:16" x14ac:dyDescent="0.3">
      <c r="A584" t="s">
        <v>1855</v>
      </c>
      <c r="B584" t="s">
        <v>1856</v>
      </c>
      <c r="C584" s="1">
        <v>45351</v>
      </c>
      <c r="D584" s="1">
        <v>45351</v>
      </c>
      <c r="E584">
        <v>500</v>
      </c>
      <c r="F584">
        <v>500</v>
      </c>
      <c r="G584">
        <v>0</v>
      </c>
      <c r="H584">
        <v>0</v>
      </c>
      <c r="I584" t="s">
        <v>1857</v>
      </c>
      <c r="J584" t="s">
        <v>1858</v>
      </c>
      <c r="K584" t="s">
        <v>19</v>
      </c>
      <c r="L584" t="s">
        <v>20</v>
      </c>
      <c r="M584">
        <v>95</v>
      </c>
      <c r="N584" t="s">
        <v>21</v>
      </c>
      <c r="O584" t="s">
        <v>22</v>
      </c>
      <c r="P584" t="s">
        <v>23</v>
      </c>
    </row>
    <row r="585" spans="1:16" x14ac:dyDescent="0.3">
      <c r="A585" t="s">
        <v>1859</v>
      </c>
      <c r="B585" t="s">
        <v>1860</v>
      </c>
      <c r="C585" s="1">
        <v>45351</v>
      </c>
      <c r="D585" s="1">
        <v>45351</v>
      </c>
      <c r="E585">
        <v>200</v>
      </c>
      <c r="F585">
        <v>200</v>
      </c>
      <c r="G585">
        <v>0</v>
      </c>
      <c r="H585">
        <v>0</v>
      </c>
      <c r="I585" t="s">
        <v>1861</v>
      </c>
      <c r="J585" t="s">
        <v>1862</v>
      </c>
      <c r="K585" t="s">
        <v>19</v>
      </c>
      <c r="L585" t="s">
        <v>20</v>
      </c>
      <c r="M585">
        <v>95</v>
      </c>
      <c r="N585" t="s">
        <v>21</v>
      </c>
      <c r="O585" t="s">
        <v>22</v>
      </c>
      <c r="P585" t="s">
        <v>23</v>
      </c>
    </row>
    <row r="586" spans="1:16" x14ac:dyDescent="0.3">
      <c r="A586" t="s">
        <v>1863</v>
      </c>
      <c r="B586" t="s">
        <v>1864</v>
      </c>
      <c r="C586" s="1">
        <v>45352</v>
      </c>
      <c r="D586" s="1">
        <v>45352</v>
      </c>
      <c r="E586">
        <v>500</v>
      </c>
      <c r="F586">
        <v>500</v>
      </c>
      <c r="G586">
        <v>0</v>
      </c>
      <c r="H586">
        <v>0</v>
      </c>
      <c r="I586" t="s">
        <v>1865</v>
      </c>
      <c r="J586" t="s">
        <v>1866</v>
      </c>
      <c r="K586" t="s">
        <v>19</v>
      </c>
      <c r="L586" t="s">
        <v>20</v>
      </c>
      <c r="M586">
        <v>95</v>
      </c>
      <c r="N586" t="s">
        <v>21</v>
      </c>
      <c r="O586" t="s">
        <v>22</v>
      </c>
      <c r="P586" t="s">
        <v>23</v>
      </c>
    </row>
    <row r="587" spans="1:16" x14ac:dyDescent="0.3">
      <c r="A587" t="s">
        <v>1867</v>
      </c>
      <c r="B587" t="s">
        <v>1868</v>
      </c>
      <c r="C587" s="1">
        <v>45352</v>
      </c>
      <c r="D587" s="1">
        <v>45352</v>
      </c>
      <c r="E587">
        <v>50</v>
      </c>
      <c r="F587">
        <v>50</v>
      </c>
      <c r="G587">
        <v>0</v>
      </c>
      <c r="H587">
        <v>0</v>
      </c>
      <c r="I587" t="s">
        <v>1869</v>
      </c>
      <c r="J587" t="s">
        <v>1870</v>
      </c>
      <c r="K587" t="s">
        <v>19</v>
      </c>
      <c r="L587" t="s">
        <v>20</v>
      </c>
      <c r="M587">
        <v>95</v>
      </c>
      <c r="N587" t="s">
        <v>21</v>
      </c>
      <c r="O587" t="s">
        <v>22</v>
      </c>
      <c r="P587" t="s">
        <v>23</v>
      </c>
    </row>
    <row r="588" spans="1:16" x14ac:dyDescent="0.3">
      <c r="A588" t="s">
        <v>1871</v>
      </c>
      <c r="B588" t="s">
        <v>1872</v>
      </c>
      <c r="C588" s="1">
        <v>45353</v>
      </c>
      <c r="D588" s="1">
        <v>45353</v>
      </c>
      <c r="E588">
        <v>10</v>
      </c>
      <c r="F588">
        <v>10</v>
      </c>
      <c r="G588">
        <v>0</v>
      </c>
      <c r="H588">
        <v>0</v>
      </c>
      <c r="I588" t="s">
        <v>1873</v>
      </c>
      <c r="J588" t="s">
        <v>1874</v>
      </c>
      <c r="K588" t="s">
        <v>91</v>
      </c>
      <c r="L588" t="s">
        <v>92</v>
      </c>
      <c r="M588">
        <v>85</v>
      </c>
      <c r="N588" t="s">
        <v>93</v>
      </c>
      <c r="O588" t="s">
        <v>22</v>
      </c>
      <c r="P588" t="s">
        <v>23</v>
      </c>
    </row>
    <row r="589" spans="1:16" x14ac:dyDescent="0.3">
      <c r="A589" t="s">
        <v>1875</v>
      </c>
      <c r="B589" t="s">
        <v>1876</v>
      </c>
      <c r="C589" s="1">
        <v>45353</v>
      </c>
      <c r="D589" s="1">
        <v>45353</v>
      </c>
      <c r="E589">
        <v>10</v>
      </c>
      <c r="F589">
        <v>10</v>
      </c>
      <c r="G589">
        <v>0</v>
      </c>
      <c r="H589">
        <v>0</v>
      </c>
      <c r="I589" t="s">
        <v>81</v>
      </c>
      <c r="J589" t="s">
        <v>82</v>
      </c>
      <c r="K589" t="s">
        <v>19</v>
      </c>
      <c r="L589" t="s">
        <v>20</v>
      </c>
      <c r="M589">
        <v>95</v>
      </c>
      <c r="N589" t="s">
        <v>21</v>
      </c>
      <c r="O589" t="s">
        <v>22</v>
      </c>
      <c r="P589" t="s">
        <v>23</v>
      </c>
    </row>
    <row r="590" spans="1:16" x14ac:dyDescent="0.3">
      <c r="A590" t="s">
        <v>1877</v>
      </c>
      <c r="B590" t="s">
        <v>1878</v>
      </c>
      <c r="C590" s="1">
        <v>45354</v>
      </c>
      <c r="D590" s="1">
        <v>45354</v>
      </c>
      <c r="E590">
        <v>95</v>
      </c>
      <c r="F590">
        <v>95</v>
      </c>
      <c r="G590">
        <v>0</v>
      </c>
      <c r="H590">
        <v>0</v>
      </c>
      <c r="I590" t="s">
        <v>1879</v>
      </c>
      <c r="J590" t="s">
        <v>1880</v>
      </c>
      <c r="K590" t="s">
        <v>19</v>
      </c>
      <c r="L590" t="s">
        <v>20</v>
      </c>
      <c r="M590">
        <v>95</v>
      </c>
      <c r="N590" t="s">
        <v>21</v>
      </c>
      <c r="O590" t="s">
        <v>22</v>
      </c>
      <c r="P590" t="s">
        <v>23</v>
      </c>
    </row>
    <row r="591" spans="1:16" x14ac:dyDescent="0.3">
      <c r="A591" t="s">
        <v>1881</v>
      </c>
      <c r="B591" t="s">
        <v>1882</v>
      </c>
      <c r="C591" s="1">
        <v>45354</v>
      </c>
      <c r="D591" s="1">
        <v>45354</v>
      </c>
      <c r="E591">
        <v>40</v>
      </c>
      <c r="F591">
        <v>40</v>
      </c>
      <c r="G591">
        <v>0</v>
      </c>
      <c r="H591">
        <v>0</v>
      </c>
      <c r="I591" t="s">
        <v>358</v>
      </c>
      <c r="J591" t="s">
        <v>359</v>
      </c>
      <c r="K591" t="s">
        <v>19</v>
      </c>
      <c r="L591" t="s">
        <v>20</v>
      </c>
      <c r="M591">
        <v>95</v>
      </c>
      <c r="N591" t="s">
        <v>21</v>
      </c>
      <c r="O591" t="s">
        <v>22</v>
      </c>
      <c r="P591" t="s">
        <v>23</v>
      </c>
    </row>
    <row r="592" spans="1:16" x14ac:dyDescent="0.3">
      <c r="A592" t="s">
        <v>1883</v>
      </c>
      <c r="B592" t="s">
        <v>1884</v>
      </c>
      <c r="C592" s="1">
        <v>45354</v>
      </c>
      <c r="D592" s="1">
        <v>45354</v>
      </c>
      <c r="E592">
        <v>55</v>
      </c>
      <c r="F592">
        <v>55</v>
      </c>
      <c r="G592">
        <v>0</v>
      </c>
      <c r="H592">
        <v>0</v>
      </c>
      <c r="I592" t="s">
        <v>1885</v>
      </c>
      <c r="J592" t="s">
        <v>1886</v>
      </c>
      <c r="K592" t="s">
        <v>19</v>
      </c>
      <c r="L592" t="s">
        <v>20</v>
      </c>
      <c r="M592">
        <v>95</v>
      </c>
      <c r="N592" t="s">
        <v>21</v>
      </c>
      <c r="O592" t="s">
        <v>22</v>
      </c>
      <c r="P592" t="s">
        <v>23</v>
      </c>
    </row>
    <row r="593" spans="1:16" x14ac:dyDescent="0.3">
      <c r="A593" t="s">
        <v>1887</v>
      </c>
      <c r="B593" t="s">
        <v>1888</v>
      </c>
      <c r="C593" s="1">
        <v>45354</v>
      </c>
      <c r="D593" s="1">
        <v>45354</v>
      </c>
      <c r="E593">
        <v>10</v>
      </c>
      <c r="F593">
        <v>10</v>
      </c>
      <c r="G593">
        <v>0</v>
      </c>
      <c r="H593">
        <v>0</v>
      </c>
      <c r="I593" t="s">
        <v>1889</v>
      </c>
      <c r="J593" t="s">
        <v>1890</v>
      </c>
      <c r="K593" t="s">
        <v>19</v>
      </c>
      <c r="L593" t="s">
        <v>20</v>
      </c>
      <c r="M593">
        <v>95</v>
      </c>
      <c r="N593" t="s">
        <v>21</v>
      </c>
      <c r="O593" t="s">
        <v>22</v>
      </c>
      <c r="P593" t="s">
        <v>23</v>
      </c>
    </row>
    <row r="594" spans="1:16" x14ac:dyDescent="0.3">
      <c r="A594" t="s">
        <v>1891</v>
      </c>
      <c r="B594" t="s">
        <v>1892</v>
      </c>
      <c r="C594" s="1">
        <v>45354</v>
      </c>
      <c r="D594" s="1">
        <v>45354</v>
      </c>
      <c r="E594">
        <v>80</v>
      </c>
      <c r="F594">
        <v>80</v>
      </c>
      <c r="G594">
        <v>0</v>
      </c>
      <c r="H594">
        <v>0</v>
      </c>
      <c r="I594" t="s">
        <v>67</v>
      </c>
      <c r="J594" t="s">
        <v>68</v>
      </c>
      <c r="K594" t="s">
        <v>19</v>
      </c>
      <c r="L594" t="s">
        <v>20</v>
      </c>
      <c r="M594">
        <v>95</v>
      </c>
      <c r="N594" t="s">
        <v>21</v>
      </c>
      <c r="O594" t="s">
        <v>22</v>
      </c>
      <c r="P594" t="s">
        <v>23</v>
      </c>
    </row>
    <row r="595" spans="1:16" x14ac:dyDescent="0.3">
      <c r="A595" t="s">
        <v>1893</v>
      </c>
      <c r="B595" t="s">
        <v>1894</v>
      </c>
      <c r="C595" s="1">
        <v>45354</v>
      </c>
      <c r="D595" s="1">
        <v>45354</v>
      </c>
      <c r="E595">
        <v>200</v>
      </c>
      <c r="F595">
        <v>200</v>
      </c>
      <c r="G595">
        <v>0</v>
      </c>
      <c r="H595">
        <v>0</v>
      </c>
      <c r="I595" t="s">
        <v>1895</v>
      </c>
      <c r="J595" t="s">
        <v>1896</v>
      </c>
      <c r="K595" t="s">
        <v>19</v>
      </c>
      <c r="L595" t="s">
        <v>20</v>
      </c>
      <c r="M595">
        <v>95</v>
      </c>
      <c r="N595" t="s">
        <v>21</v>
      </c>
      <c r="O595" t="s">
        <v>22</v>
      </c>
      <c r="P595" t="s">
        <v>23</v>
      </c>
    </row>
    <row r="596" spans="1:16" x14ac:dyDescent="0.3">
      <c r="A596" t="s">
        <v>1897</v>
      </c>
      <c r="B596" t="s">
        <v>1898</v>
      </c>
      <c r="C596" s="1">
        <v>45354</v>
      </c>
      <c r="D596" s="1">
        <v>45354</v>
      </c>
      <c r="E596">
        <v>18</v>
      </c>
      <c r="F596">
        <v>18</v>
      </c>
      <c r="G596">
        <v>0</v>
      </c>
      <c r="H596">
        <v>0</v>
      </c>
      <c r="I596" t="s">
        <v>1899</v>
      </c>
      <c r="J596" t="s">
        <v>1900</v>
      </c>
      <c r="K596" t="s">
        <v>19</v>
      </c>
      <c r="L596" t="s">
        <v>20</v>
      </c>
      <c r="M596">
        <v>95</v>
      </c>
      <c r="N596" t="s">
        <v>21</v>
      </c>
      <c r="O596" t="s">
        <v>22</v>
      </c>
      <c r="P596" t="s">
        <v>23</v>
      </c>
    </row>
    <row r="597" spans="1:16" x14ac:dyDescent="0.3">
      <c r="A597" t="s">
        <v>1901</v>
      </c>
      <c r="B597" t="s">
        <v>1902</v>
      </c>
      <c r="C597" s="1">
        <v>45354</v>
      </c>
      <c r="D597" s="1">
        <v>45354</v>
      </c>
      <c r="E597">
        <v>130</v>
      </c>
      <c r="F597">
        <v>130</v>
      </c>
      <c r="G597">
        <v>0</v>
      </c>
      <c r="H597">
        <v>0</v>
      </c>
      <c r="I597" t="s">
        <v>358</v>
      </c>
      <c r="J597" t="s">
        <v>359</v>
      </c>
      <c r="K597" t="s">
        <v>19</v>
      </c>
      <c r="L597" t="s">
        <v>20</v>
      </c>
      <c r="M597">
        <v>95</v>
      </c>
      <c r="N597" t="s">
        <v>21</v>
      </c>
      <c r="O597" t="s">
        <v>22</v>
      </c>
      <c r="P597" t="s">
        <v>23</v>
      </c>
    </row>
    <row r="598" spans="1:16" x14ac:dyDescent="0.3">
      <c r="A598" t="s">
        <v>1903</v>
      </c>
      <c r="B598" t="s">
        <v>1904</v>
      </c>
      <c r="C598" s="1">
        <v>45355</v>
      </c>
      <c r="D598" s="1">
        <v>45355</v>
      </c>
      <c r="E598">
        <v>20</v>
      </c>
      <c r="F598">
        <v>20</v>
      </c>
      <c r="G598">
        <v>0</v>
      </c>
      <c r="H598">
        <v>0</v>
      </c>
      <c r="I598" t="s">
        <v>1905</v>
      </c>
      <c r="J598" t="s">
        <v>1906</v>
      </c>
      <c r="K598" t="s">
        <v>19</v>
      </c>
      <c r="L598" t="s">
        <v>20</v>
      </c>
      <c r="M598">
        <v>95</v>
      </c>
      <c r="N598" t="s">
        <v>21</v>
      </c>
      <c r="O598" t="s">
        <v>22</v>
      </c>
      <c r="P598" t="s">
        <v>23</v>
      </c>
    </row>
    <row r="599" spans="1:16" x14ac:dyDescent="0.3">
      <c r="A599" t="s">
        <v>1907</v>
      </c>
      <c r="B599" t="s">
        <v>1908</v>
      </c>
      <c r="C599" s="1">
        <v>45355</v>
      </c>
      <c r="D599" s="1">
        <v>45355</v>
      </c>
      <c r="E599">
        <v>100</v>
      </c>
      <c r="F599">
        <v>100</v>
      </c>
      <c r="G599">
        <v>0</v>
      </c>
      <c r="H599">
        <v>0</v>
      </c>
      <c r="I599" t="s">
        <v>1909</v>
      </c>
      <c r="J599" t="s">
        <v>1910</v>
      </c>
      <c r="K599" t="s">
        <v>91</v>
      </c>
      <c r="L599" t="s">
        <v>92</v>
      </c>
      <c r="M599">
        <v>85</v>
      </c>
      <c r="N599" t="s">
        <v>93</v>
      </c>
      <c r="O599" t="s">
        <v>219</v>
      </c>
      <c r="P599" t="s">
        <v>220</v>
      </c>
    </row>
    <row r="600" spans="1:16" x14ac:dyDescent="0.3">
      <c r="A600" t="s">
        <v>1911</v>
      </c>
      <c r="B600" t="s">
        <v>1912</v>
      </c>
      <c r="C600" s="1">
        <v>45355</v>
      </c>
      <c r="D600" s="1">
        <v>45355</v>
      </c>
      <c r="E600">
        <v>100</v>
      </c>
      <c r="F600">
        <v>100</v>
      </c>
      <c r="G600">
        <v>0</v>
      </c>
      <c r="H600">
        <v>0</v>
      </c>
      <c r="I600" t="s">
        <v>1909</v>
      </c>
      <c r="J600" t="s">
        <v>1910</v>
      </c>
      <c r="K600" t="s">
        <v>19</v>
      </c>
      <c r="L600" t="s">
        <v>20</v>
      </c>
      <c r="M600">
        <v>95</v>
      </c>
      <c r="N600" t="s">
        <v>21</v>
      </c>
      <c r="O600" t="s">
        <v>219</v>
      </c>
      <c r="P600" t="s">
        <v>220</v>
      </c>
    </row>
    <row r="601" spans="1:16" x14ac:dyDescent="0.3">
      <c r="A601" t="s">
        <v>1913</v>
      </c>
      <c r="B601" t="s">
        <v>1914</v>
      </c>
      <c r="C601" s="1">
        <v>45355</v>
      </c>
      <c r="D601" s="1">
        <v>45355</v>
      </c>
      <c r="E601">
        <v>55</v>
      </c>
      <c r="F601">
        <v>55</v>
      </c>
      <c r="G601">
        <v>0</v>
      </c>
      <c r="H601">
        <v>0</v>
      </c>
      <c r="I601" t="s">
        <v>1915</v>
      </c>
      <c r="J601" t="s">
        <v>1916</v>
      </c>
      <c r="K601" t="s">
        <v>19</v>
      </c>
      <c r="L601" t="s">
        <v>20</v>
      </c>
      <c r="M601">
        <v>95</v>
      </c>
      <c r="N601" t="s">
        <v>21</v>
      </c>
      <c r="O601" t="s">
        <v>22</v>
      </c>
      <c r="P601" t="s">
        <v>23</v>
      </c>
    </row>
    <row r="602" spans="1:16" x14ac:dyDescent="0.3">
      <c r="A602" t="s">
        <v>1917</v>
      </c>
      <c r="B602" t="s">
        <v>1918</v>
      </c>
      <c r="C602" s="1">
        <v>45355</v>
      </c>
      <c r="D602" s="1">
        <v>45357</v>
      </c>
      <c r="E602">
        <v>30</v>
      </c>
      <c r="F602">
        <v>30</v>
      </c>
      <c r="G602">
        <v>0</v>
      </c>
      <c r="H602">
        <v>2</v>
      </c>
      <c r="I602" t="s">
        <v>1919</v>
      </c>
      <c r="J602" t="s">
        <v>1920</v>
      </c>
      <c r="K602" t="s">
        <v>235</v>
      </c>
      <c r="L602" t="s">
        <v>236</v>
      </c>
      <c r="M602">
        <v>75</v>
      </c>
      <c r="N602" t="s">
        <v>93</v>
      </c>
      <c r="O602" t="s">
        <v>22</v>
      </c>
      <c r="P602" t="s">
        <v>23</v>
      </c>
    </row>
    <row r="603" spans="1:16" x14ac:dyDescent="0.3">
      <c r="A603" t="s">
        <v>1921</v>
      </c>
      <c r="B603" t="s">
        <v>1922</v>
      </c>
      <c r="C603" s="1">
        <v>45355</v>
      </c>
      <c r="D603" s="1">
        <v>45355</v>
      </c>
      <c r="E603">
        <v>60</v>
      </c>
      <c r="F603">
        <v>60</v>
      </c>
      <c r="G603">
        <v>0</v>
      </c>
      <c r="H603">
        <v>0</v>
      </c>
      <c r="I603" t="s">
        <v>1923</v>
      </c>
      <c r="J603" t="s">
        <v>1924</v>
      </c>
      <c r="K603" t="s">
        <v>19</v>
      </c>
      <c r="L603" t="s">
        <v>20</v>
      </c>
      <c r="M603">
        <v>95</v>
      </c>
      <c r="N603" t="s">
        <v>21</v>
      </c>
      <c r="O603" t="s">
        <v>22</v>
      </c>
      <c r="P603" t="s">
        <v>23</v>
      </c>
    </row>
    <row r="604" spans="1:16" x14ac:dyDescent="0.3">
      <c r="A604" t="s">
        <v>1925</v>
      </c>
      <c r="B604" t="s">
        <v>1926</v>
      </c>
      <c r="C604" s="1">
        <v>45355</v>
      </c>
      <c r="D604" s="1">
        <v>45355</v>
      </c>
      <c r="E604">
        <v>10</v>
      </c>
      <c r="F604">
        <v>10</v>
      </c>
      <c r="G604">
        <v>0</v>
      </c>
      <c r="H604">
        <v>0</v>
      </c>
      <c r="I604" t="s">
        <v>96</v>
      </c>
      <c r="J604" t="s">
        <v>97</v>
      </c>
      <c r="K604" t="s">
        <v>91</v>
      </c>
      <c r="L604" t="s">
        <v>92</v>
      </c>
      <c r="M604">
        <v>85</v>
      </c>
      <c r="N604" t="s">
        <v>93</v>
      </c>
      <c r="O604" t="s">
        <v>22</v>
      </c>
      <c r="P604" t="s">
        <v>23</v>
      </c>
    </row>
    <row r="605" spans="1:16" x14ac:dyDescent="0.3">
      <c r="A605" t="s">
        <v>1927</v>
      </c>
      <c r="B605" t="s">
        <v>1928</v>
      </c>
      <c r="C605" s="1">
        <v>45355</v>
      </c>
      <c r="D605" s="1">
        <v>45355</v>
      </c>
      <c r="E605">
        <v>10</v>
      </c>
      <c r="F605">
        <v>10</v>
      </c>
      <c r="G605">
        <v>0</v>
      </c>
      <c r="H605">
        <v>0</v>
      </c>
      <c r="I605" t="s">
        <v>1923</v>
      </c>
      <c r="J605" t="s">
        <v>1924</v>
      </c>
      <c r="K605" t="s">
        <v>91</v>
      </c>
      <c r="L605" t="s">
        <v>92</v>
      </c>
      <c r="M605">
        <v>85</v>
      </c>
      <c r="N605" t="s">
        <v>93</v>
      </c>
      <c r="O605" t="s">
        <v>219</v>
      </c>
      <c r="P605" t="s">
        <v>220</v>
      </c>
    </row>
    <row r="606" spans="1:16" x14ac:dyDescent="0.3">
      <c r="A606" t="s">
        <v>1929</v>
      </c>
      <c r="B606" t="s">
        <v>1930</v>
      </c>
      <c r="C606" s="1">
        <v>45356</v>
      </c>
      <c r="D606" s="1">
        <v>45356</v>
      </c>
      <c r="E606">
        <v>241</v>
      </c>
      <c r="F606">
        <v>240.9</v>
      </c>
      <c r="G606">
        <v>0</v>
      </c>
      <c r="H606">
        <v>0</v>
      </c>
      <c r="I606" t="s">
        <v>1526</v>
      </c>
      <c r="J606" t="s">
        <v>1527</v>
      </c>
      <c r="K606" t="s">
        <v>19</v>
      </c>
      <c r="L606" t="s">
        <v>20</v>
      </c>
      <c r="M606">
        <v>95</v>
      </c>
      <c r="N606" t="s">
        <v>21</v>
      </c>
      <c r="O606" t="s">
        <v>22</v>
      </c>
      <c r="P606" t="s">
        <v>23</v>
      </c>
    </row>
    <row r="607" spans="1:16" x14ac:dyDescent="0.3">
      <c r="A607" t="s">
        <v>1931</v>
      </c>
      <c r="B607" t="s">
        <v>1932</v>
      </c>
      <c r="C607" s="1">
        <v>45357</v>
      </c>
      <c r="D607" s="1">
        <v>45357</v>
      </c>
      <c r="E607">
        <v>60</v>
      </c>
      <c r="F607">
        <v>60</v>
      </c>
      <c r="G607">
        <v>0</v>
      </c>
      <c r="H607">
        <v>0</v>
      </c>
      <c r="I607" t="s">
        <v>1933</v>
      </c>
      <c r="J607" t="s">
        <v>1934</v>
      </c>
      <c r="K607" t="s">
        <v>91</v>
      </c>
      <c r="L607" t="s">
        <v>92</v>
      </c>
      <c r="M607">
        <v>85</v>
      </c>
      <c r="N607" t="s">
        <v>93</v>
      </c>
      <c r="O607" t="s">
        <v>219</v>
      </c>
      <c r="P607" t="s">
        <v>220</v>
      </c>
    </row>
    <row r="608" spans="1:16" x14ac:dyDescent="0.3">
      <c r="A608" t="s">
        <v>1935</v>
      </c>
      <c r="B608" t="s">
        <v>1936</v>
      </c>
      <c r="C608" s="1">
        <v>45357</v>
      </c>
      <c r="D608" s="1">
        <v>45357</v>
      </c>
      <c r="E608">
        <v>420</v>
      </c>
      <c r="F608">
        <v>420</v>
      </c>
      <c r="G608">
        <v>0</v>
      </c>
      <c r="H608">
        <v>0</v>
      </c>
      <c r="I608" t="s">
        <v>1937</v>
      </c>
      <c r="J608" t="s">
        <v>1938</v>
      </c>
      <c r="K608" t="s">
        <v>19</v>
      </c>
      <c r="L608" t="s">
        <v>20</v>
      </c>
      <c r="M608">
        <v>95</v>
      </c>
      <c r="N608" t="s">
        <v>21</v>
      </c>
      <c r="O608" t="s">
        <v>22</v>
      </c>
      <c r="P608" t="s">
        <v>23</v>
      </c>
    </row>
    <row r="609" spans="1:16" x14ac:dyDescent="0.3">
      <c r="A609" t="s">
        <v>1939</v>
      </c>
      <c r="B609" t="s">
        <v>1940</v>
      </c>
      <c r="C609" s="1">
        <v>45357</v>
      </c>
      <c r="D609" s="1">
        <v>45357</v>
      </c>
      <c r="E609">
        <v>100</v>
      </c>
      <c r="F609">
        <v>100</v>
      </c>
      <c r="G609">
        <v>0</v>
      </c>
      <c r="H609">
        <v>0</v>
      </c>
      <c r="I609" t="s">
        <v>1941</v>
      </c>
      <c r="J609" t="s">
        <v>1942</v>
      </c>
      <c r="K609" t="s">
        <v>91</v>
      </c>
      <c r="L609" t="s">
        <v>92</v>
      </c>
      <c r="M609">
        <v>85</v>
      </c>
      <c r="N609" t="s">
        <v>93</v>
      </c>
      <c r="O609" t="s">
        <v>22</v>
      </c>
      <c r="P609" t="s">
        <v>23</v>
      </c>
    </row>
    <row r="610" spans="1:16" x14ac:dyDescent="0.3">
      <c r="A610" t="s">
        <v>1943</v>
      </c>
      <c r="B610" t="s">
        <v>1944</v>
      </c>
      <c r="C610" s="1">
        <v>45357</v>
      </c>
      <c r="D610" s="1">
        <v>45357</v>
      </c>
      <c r="E610">
        <v>100</v>
      </c>
      <c r="F610">
        <v>100</v>
      </c>
      <c r="G610">
        <v>0</v>
      </c>
      <c r="H610">
        <v>0</v>
      </c>
      <c r="I610" t="s">
        <v>1945</v>
      </c>
      <c r="J610" t="s">
        <v>1946</v>
      </c>
      <c r="K610" t="s">
        <v>91</v>
      </c>
      <c r="L610" t="s">
        <v>92</v>
      </c>
      <c r="M610">
        <v>85</v>
      </c>
      <c r="N610" t="s">
        <v>93</v>
      </c>
      <c r="O610" t="s">
        <v>22</v>
      </c>
      <c r="P610" t="s">
        <v>23</v>
      </c>
    </row>
    <row r="611" spans="1:16" x14ac:dyDescent="0.3">
      <c r="A611" t="s">
        <v>1947</v>
      </c>
      <c r="B611" t="s">
        <v>1948</v>
      </c>
      <c r="C611" s="1">
        <v>45357</v>
      </c>
      <c r="D611" s="1">
        <v>45357</v>
      </c>
      <c r="E611">
        <v>140</v>
      </c>
      <c r="F611">
        <v>140</v>
      </c>
      <c r="G611">
        <v>0</v>
      </c>
      <c r="H611">
        <v>0</v>
      </c>
      <c r="I611" t="s">
        <v>96</v>
      </c>
      <c r="J611" t="s">
        <v>97</v>
      </c>
      <c r="K611" t="s">
        <v>19</v>
      </c>
      <c r="L611" t="s">
        <v>20</v>
      </c>
      <c r="M611">
        <v>95</v>
      </c>
      <c r="N611" t="s">
        <v>21</v>
      </c>
      <c r="O611" t="s">
        <v>22</v>
      </c>
      <c r="P611" t="s">
        <v>23</v>
      </c>
    </row>
    <row r="612" spans="1:16" x14ac:dyDescent="0.3">
      <c r="A612" t="s">
        <v>1949</v>
      </c>
      <c r="B612" t="s">
        <v>1950</v>
      </c>
      <c r="C612" s="1">
        <v>45357</v>
      </c>
      <c r="D612" s="1">
        <v>45357</v>
      </c>
      <c r="E612">
        <v>100</v>
      </c>
      <c r="F612">
        <v>100</v>
      </c>
      <c r="G612">
        <v>0</v>
      </c>
      <c r="H612">
        <v>0</v>
      </c>
      <c r="I612" t="s">
        <v>1951</v>
      </c>
      <c r="J612" t="s">
        <v>1952</v>
      </c>
      <c r="K612" t="s">
        <v>19</v>
      </c>
      <c r="L612" t="s">
        <v>20</v>
      </c>
      <c r="M612">
        <v>95</v>
      </c>
      <c r="N612" t="s">
        <v>21</v>
      </c>
      <c r="O612" t="s">
        <v>22</v>
      </c>
      <c r="P612" t="s">
        <v>23</v>
      </c>
    </row>
    <row r="613" spans="1:16" x14ac:dyDescent="0.3">
      <c r="A613" t="s">
        <v>1953</v>
      </c>
      <c r="B613" t="s">
        <v>1954</v>
      </c>
      <c r="C613" s="1">
        <v>45358</v>
      </c>
      <c r="D613" s="1">
        <v>45358</v>
      </c>
      <c r="E613">
        <v>4600</v>
      </c>
      <c r="F613">
        <v>4600</v>
      </c>
      <c r="G613">
        <v>0</v>
      </c>
      <c r="H613">
        <v>0</v>
      </c>
      <c r="I613" t="s">
        <v>1955</v>
      </c>
      <c r="J613" t="s">
        <v>1956</v>
      </c>
      <c r="K613" t="s">
        <v>19</v>
      </c>
      <c r="L613" t="s">
        <v>20</v>
      </c>
      <c r="M613">
        <v>95</v>
      </c>
      <c r="N613" t="s">
        <v>21</v>
      </c>
      <c r="O613" t="s">
        <v>22</v>
      </c>
      <c r="P613" t="s">
        <v>23</v>
      </c>
    </row>
    <row r="614" spans="1:16" x14ac:dyDescent="0.3">
      <c r="A614" t="s">
        <v>1957</v>
      </c>
      <c r="B614" t="s">
        <v>1958</v>
      </c>
      <c r="C614" s="1">
        <v>45359</v>
      </c>
      <c r="D614" s="1">
        <v>45359</v>
      </c>
      <c r="E614">
        <v>22</v>
      </c>
      <c r="F614">
        <v>22</v>
      </c>
      <c r="G614">
        <v>0</v>
      </c>
      <c r="H614">
        <v>0</v>
      </c>
      <c r="I614" t="s">
        <v>81</v>
      </c>
      <c r="J614" t="s">
        <v>82</v>
      </c>
      <c r="K614" t="s">
        <v>19</v>
      </c>
      <c r="L614" t="s">
        <v>20</v>
      </c>
      <c r="M614">
        <v>95</v>
      </c>
      <c r="N614" t="s">
        <v>21</v>
      </c>
      <c r="O614" t="s">
        <v>22</v>
      </c>
      <c r="P614" t="s">
        <v>23</v>
      </c>
    </row>
    <row r="615" spans="1:16" x14ac:dyDescent="0.3">
      <c r="A615" t="s">
        <v>1959</v>
      </c>
      <c r="B615" t="s">
        <v>1960</v>
      </c>
      <c r="C615" s="1">
        <v>45359</v>
      </c>
      <c r="D615" s="1">
        <v>45359</v>
      </c>
      <c r="E615">
        <v>10</v>
      </c>
      <c r="F615">
        <v>10</v>
      </c>
      <c r="G615">
        <v>0</v>
      </c>
      <c r="H615">
        <v>0</v>
      </c>
      <c r="I615" t="s">
        <v>81</v>
      </c>
      <c r="J615" t="s">
        <v>82</v>
      </c>
      <c r="K615" t="s">
        <v>19</v>
      </c>
      <c r="L615" t="s">
        <v>20</v>
      </c>
      <c r="M615">
        <v>95</v>
      </c>
      <c r="N615" t="s">
        <v>21</v>
      </c>
      <c r="O615" t="s">
        <v>22</v>
      </c>
      <c r="P615" t="s">
        <v>23</v>
      </c>
    </row>
    <row r="616" spans="1:16" x14ac:dyDescent="0.3">
      <c r="A616" t="s">
        <v>1961</v>
      </c>
      <c r="B616" t="s">
        <v>1962</v>
      </c>
      <c r="C616" s="1">
        <v>45359</v>
      </c>
      <c r="D616" s="1">
        <v>45359</v>
      </c>
      <c r="E616">
        <v>85</v>
      </c>
      <c r="F616">
        <v>85</v>
      </c>
      <c r="G616">
        <v>0</v>
      </c>
      <c r="H616">
        <v>0</v>
      </c>
      <c r="I616" t="s">
        <v>1963</v>
      </c>
      <c r="J616" t="s">
        <v>1964</v>
      </c>
      <c r="K616" t="s">
        <v>19</v>
      </c>
      <c r="L616" t="s">
        <v>20</v>
      </c>
      <c r="M616">
        <v>95</v>
      </c>
      <c r="N616" t="s">
        <v>21</v>
      </c>
      <c r="O616" t="s">
        <v>22</v>
      </c>
      <c r="P616" t="s">
        <v>23</v>
      </c>
    </row>
    <row r="617" spans="1:16" x14ac:dyDescent="0.3">
      <c r="A617" t="s">
        <v>1965</v>
      </c>
      <c r="B617" t="s">
        <v>1966</v>
      </c>
      <c r="C617" s="1">
        <v>45359</v>
      </c>
      <c r="D617" s="1">
        <v>45359</v>
      </c>
      <c r="E617">
        <v>180</v>
      </c>
      <c r="F617">
        <v>180</v>
      </c>
      <c r="G617">
        <v>0</v>
      </c>
      <c r="H617">
        <v>0</v>
      </c>
      <c r="I617" t="s">
        <v>96</v>
      </c>
      <c r="J617" t="s">
        <v>97</v>
      </c>
      <c r="K617" t="s">
        <v>19</v>
      </c>
      <c r="L617" t="s">
        <v>20</v>
      </c>
      <c r="M617">
        <v>95</v>
      </c>
      <c r="N617" t="s">
        <v>21</v>
      </c>
      <c r="O617" t="s">
        <v>22</v>
      </c>
      <c r="P617" t="s">
        <v>23</v>
      </c>
    </row>
    <row r="618" spans="1:16" x14ac:dyDescent="0.3">
      <c r="A618" t="s">
        <v>1967</v>
      </c>
      <c r="B618" t="s">
        <v>1968</v>
      </c>
      <c r="C618" s="1">
        <v>45360</v>
      </c>
      <c r="D618" s="1">
        <v>45360</v>
      </c>
      <c r="E618">
        <v>290</v>
      </c>
      <c r="F618">
        <v>290</v>
      </c>
      <c r="G618">
        <v>0</v>
      </c>
      <c r="H618">
        <v>0</v>
      </c>
      <c r="I618" t="s">
        <v>1969</v>
      </c>
      <c r="J618" t="s">
        <v>1970</v>
      </c>
      <c r="K618" t="s">
        <v>19</v>
      </c>
      <c r="L618" t="s">
        <v>20</v>
      </c>
      <c r="M618">
        <v>95</v>
      </c>
      <c r="N618" t="s">
        <v>21</v>
      </c>
      <c r="O618" t="s">
        <v>22</v>
      </c>
      <c r="P618" t="s">
        <v>23</v>
      </c>
    </row>
    <row r="619" spans="1:16" x14ac:dyDescent="0.3">
      <c r="A619" t="s">
        <v>1971</v>
      </c>
      <c r="B619" t="s">
        <v>1972</v>
      </c>
      <c r="C619" s="1">
        <v>45360</v>
      </c>
      <c r="D619" s="1">
        <v>45360</v>
      </c>
      <c r="E619">
        <v>500</v>
      </c>
      <c r="F619">
        <v>500</v>
      </c>
      <c r="G619">
        <v>0</v>
      </c>
      <c r="H619">
        <v>0</v>
      </c>
      <c r="I619" t="s">
        <v>1973</v>
      </c>
      <c r="J619" t="s">
        <v>1974</v>
      </c>
      <c r="K619" t="s">
        <v>19</v>
      </c>
      <c r="L619" t="s">
        <v>20</v>
      </c>
      <c r="M619">
        <v>95</v>
      </c>
      <c r="N619" t="s">
        <v>21</v>
      </c>
      <c r="O619" t="s">
        <v>22</v>
      </c>
      <c r="P619" t="s">
        <v>23</v>
      </c>
    </row>
    <row r="620" spans="1:16" x14ac:dyDescent="0.3">
      <c r="A620" t="s">
        <v>1975</v>
      </c>
      <c r="B620" t="s">
        <v>1976</v>
      </c>
      <c r="C620" s="1">
        <v>45361</v>
      </c>
      <c r="D620" s="1">
        <v>45361</v>
      </c>
      <c r="E620">
        <v>520</v>
      </c>
      <c r="F620">
        <v>520</v>
      </c>
      <c r="G620">
        <v>0</v>
      </c>
      <c r="H620">
        <v>0</v>
      </c>
      <c r="I620" t="s">
        <v>96</v>
      </c>
      <c r="J620" t="s">
        <v>97</v>
      </c>
      <c r="K620" t="s">
        <v>19</v>
      </c>
      <c r="L620" t="s">
        <v>20</v>
      </c>
      <c r="M620">
        <v>95</v>
      </c>
      <c r="N620" t="s">
        <v>21</v>
      </c>
      <c r="O620" t="s">
        <v>22</v>
      </c>
      <c r="P620" t="s">
        <v>23</v>
      </c>
    </row>
    <row r="621" spans="1:16" x14ac:dyDescent="0.3">
      <c r="A621" t="s">
        <v>1977</v>
      </c>
      <c r="B621" t="s">
        <v>1978</v>
      </c>
      <c r="C621" s="1">
        <v>45361</v>
      </c>
      <c r="D621" s="1">
        <v>45361</v>
      </c>
      <c r="E621">
        <v>15</v>
      </c>
      <c r="F621">
        <v>15</v>
      </c>
      <c r="G621">
        <v>0</v>
      </c>
      <c r="H621">
        <v>0</v>
      </c>
      <c r="I621" t="s">
        <v>1526</v>
      </c>
      <c r="J621" t="s">
        <v>1527</v>
      </c>
      <c r="K621" t="s">
        <v>19</v>
      </c>
      <c r="L621" t="s">
        <v>20</v>
      </c>
      <c r="M621">
        <v>95</v>
      </c>
      <c r="N621" t="s">
        <v>21</v>
      </c>
      <c r="O621" t="s">
        <v>22</v>
      </c>
      <c r="P621" t="s">
        <v>23</v>
      </c>
    </row>
    <row r="622" spans="1:16" x14ac:dyDescent="0.3">
      <c r="A622" t="s">
        <v>1979</v>
      </c>
      <c r="B622" t="s">
        <v>1980</v>
      </c>
      <c r="C622" s="1">
        <v>45362</v>
      </c>
      <c r="D622" s="1">
        <v>45362</v>
      </c>
      <c r="E622">
        <v>200</v>
      </c>
      <c r="F622">
        <v>200</v>
      </c>
      <c r="G622">
        <v>0</v>
      </c>
      <c r="H622">
        <v>0</v>
      </c>
      <c r="I622" t="s">
        <v>1981</v>
      </c>
      <c r="J622" t="s">
        <v>1982</v>
      </c>
      <c r="K622" t="s">
        <v>19</v>
      </c>
      <c r="L622" t="s">
        <v>20</v>
      </c>
      <c r="M622">
        <v>95</v>
      </c>
      <c r="N622" t="s">
        <v>21</v>
      </c>
      <c r="O622" t="s">
        <v>22</v>
      </c>
      <c r="P622" t="s">
        <v>23</v>
      </c>
    </row>
    <row r="623" spans="1:16" x14ac:dyDescent="0.3">
      <c r="A623" t="s">
        <v>1983</v>
      </c>
      <c r="B623" t="s">
        <v>1984</v>
      </c>
      <c r="C623" s="1">
        <v>45363</v>
      </c>
      <c r="D623" s="1">
        <v>45363</v>
      </c>
      <c r="E623">
        <v>1630</v>
      </c>
      <c r="F623">
        <v>1630</v>
      </c>
      <c r="G623">
        <v>0</v>
      </c>
      <c r="H623">
        <v>0</v>
      </c>
      <c r="I623" t="s">
        <v>108</v>
      </c>
      <c r="J623" t="s">
        <v>109</v>
      </c>
      <c r="K623" t="s">
        <v>19</v>
      </c>
      <c r="L623" t="s">
        <v>110</v>
      </c>
      <c r="M623">
        <v>100</v>
      </c>
      <c r="N623" t="s">
        <v>21</v>
      </c>
      <c r="O623" t="s">
        <v>22</v>
      </c>
      <c r="P623" t="s">
        <v>23</v>
      </c>
    </row>
    <row r="624" spans="1:16" x14ac:dyDescent="0.3">
      <c r="A624" t="s">
        <v>1985</v>
      </c>
      <c r="B624" t="s">
        <v>1986</v>
      </c>
      <c r="C624" s="1">
        <v>45364</v>
      </c>
      <c r="D624" s="1">
        <v>45364</v>
      </c>
      <c r="E624">
        <v>140</v>
      </c>
      <c r="F624">
        <v>140</v>
      </c>
      <c r="G624">
        <v>0</v>
      </c>
      <c r="H624">
        <v>0</v>
      </c>
      <c r="I624" t="s">
        <v>108</v>
      </c>
      <c r="J624" t="s">
        <v>109</v>
      </c>
      <c r="K624" t="s">
        <v>19</v>
      </c>
      <c r="L624" t="s">
        <v>110</v>
      </c>
      <c r="M624">
        <v>100</v>
      </c>
      <c r="N624" t="s">
        <v>21</v>
      </c>
      <c r="O624" t="s">
        <v>22</v>
      </c>
      <c r="P624" t="s">
        <v>23</v>
      </c>
    </row>
    <row r="625" spans="1:16" x14ac:dyDescent="0.3">
      <c r="A625" t="s">
        <v>1987</v>
      </c>
      <c r="B625" t="s">
        <v>1988</v>
      </c>
      <c r="C625" s="1">
        <v>45364</v>
      </c>
      <c r="D625" s="1">
        <v>45364</v>
      </c>
      <c r="E625">
        <v>59</v>
      </c>
      <c r="F625">
        <v>59</v>
      </c>
      <c r="G625">
        <v>0</v>
      </c>
      <c r="H625">
        <v>0</v>
      </c>
      <c r="I625" t="s">
        <v>1989</v>
      </c>
      <c r="J625" t="s">
        <v>1990</v>
      </c>
      <c r="K625" t="s">
        <v>19</v>
      </c>
      <c r="L625" t="s">
        <v>20</v>
      </c>
      <c r="M625">
        <v>95</v>
      </c>
      <c r="N625" t="s">
        <v>21</v>
      </c>
      <c r="O625" t="s">
        <v>22</v>
      </c>
      <c r="P625" t="s">
        <v>23</v>
      </c>
    </row>
    <row r="626" spans="1:16" x14ac:dyDescent="0.3">
      <c r="A626" t="s">
        <v>1991</v>
      </c>
      <c r="B626" t="s">
        <v>1992</v>
      </c>
      <c r="C626" s="1">
        <v>45364</v>
      </c>
      <c r="D626" s="1">
        <v>45364</v>
      </c>
      <c r="E626">
        <v>15</v>
      </c>
      <c r="F626">
        <v>15</v>
      </c>
      <c r="G626">
        <v>0</v>
      </c>
      <c r="H626">
        <v>0</v>
      </c>
      <c r="I626" t="s">
        <v>81</v>
      </c>
      <c r="J626" t="s">
        <v>82</v>
      </c>
      <c r="K626" t="s">
        <v>19</v>
      </c>
      <c r="L626" t="s">
        <v>20</v>
      </c>
      <c r="M626">
        <v>95</v>
      </c>
      <c r="N626" t="s">
        <v>21</v>
      </c>
      <c r="O626" t="s">
        <v>22</v>
      </c>
      <c r="P626" t="s">
        <v>23</v>
      </c>
    </row>
    <row r="627" spans="1:16" x14ac:dyDescent="0.3">
      <c r="A627" t="s">
        <v>1993</v>
      </c>
      <c r="B627" t="s">
        <v>1994</v>
      </c>
      <c r="C627" s="1">
        <v>45365</v>
      </c>
      <c r="D627" s="1">
        <v>45365</v>
      </c>
      <c r="E627">
        <v>5000</v>
      </c>
      <c r="F627">
        <v>5000</v>
      </c>
      <c r="G627">
        <v>0</v>
      </c>
      <c r="H627">
        <v>0</v>
      </c>
      <c r="I627" t="s">
        <v>1995</v>
      </c>
      <c r="J627" t="s">
        <v>1996</v>
      </c>
      <c r="K627" t="s">
        <v>19</v>
      </c>
      <c r="L627" t="s">
        <v>20</v>
      </c>
      <c r="M627">
        <v>95</v>
      </c>
      <c r="N627" t="s">
        <v>21</v>
      </c>
      <c r="O627" t="s">
        <v>22</v>
      </c>
      <c r="P627" t="s">
        <v>23</v>
      </c>
    </row>
    <row r="628" spans="1:16" x14ac:dyDescent="0.3">
      <c r="A628" t="s">
        <v>1997</v>
      </c>
      <c r="B628" t="s">
        <v>1998</v>
      </c>
      <c r="C628" s="1">
        <v>45365</v>
      </c>
      <c r="D628" s="1">
        <v>45365</v>
      </c>
      <c r="E628">
        <v>500</v>
      </c>
      <c r="F628">
        <v>500</v>
      </c>
      <c r="G628">
        <v>0</v>
      </c>
      <c r="H628">
        <v>0</v>
      </c>
      <c r="I628" t="s">
        <v>1999</v>
      </c>
      <c r="J628" t="s">
        <v>2000</v>
      </c>
      <c r="K628" t="s">
        <v>19</v>
      </c>
      <c r="L628" t="s">
        <v>20</v>
      </c>
      <c r="M628">
        <v>95</v>
      </c>
      <c r="N628" t="s">
        <v>21</v>
      </c>
      <c r="O628" t="s">
        <v>22</v>
      </c>
      <c r="P628" t="s">
        <v>23</v>
      </c>
    </row>
    <row r="629" spans="1:16" x14ac:dyDescent="0.3">
      <c r="A629" t="s">
        <v>2001</v>
      </c>
      <c r="B629" t="s">
        <v>2002</v>
      </c>
      <c r="C629" s="1">
        <v>45365</v>
      </c>
      <c r="D629" s="1">
        <v>45365</v>
      </c>
      <c r="E629">
        <v>200</v>
      </c>
      <c r="F629">
        <v>200</v>
      </c>
      <c r="G629">
        <v>0</v>
      </c>
      <c r="H629">
        <v>0</v>
      </c>
      <c r="I629" t="s">
        <v>2003</v>
      </c>
      <c r="J629" t="s">
        <v>2004</v>
      </c>
      <c r="K629" t="s">
        <v>19</v>
      </c>
      <c r="L629" t="s">
        <v>20</v>
      </c>
      <c r="M629">
        <v>95</v>
      </c>
      <c r="N629" t="s">
        <v>21</v>
      </c>
      <c r="O629" t="s">
        <v>22</v>
      </c>
      <c r="P629" t="s">
        <v>23</v>
      </c>
    </row>
    <row r="630" spans="1:16" x14ac:dyDescent="0.3">
      <c r="A630" t="s">
        <v>2005</v>
      </c>
      <c r="B630" t="s">
        <v>2006</v>
      </c>
      <c r="C630" s="1">
        <v>45365</v>
      </c>
      <c r="D630" s="1">
        <v>45365</v>
      </c>
      <c r="E630">
        <v>15</v>
      </c>
      <c r="F630">
        <v>15</v>
      </c>
      <c r="G630">
        <v>0</v>
      </c>
      <c r="H630">
        <v>0</v>
      </c>
      <c r="I630" t="s">
        <v>1526</v>
      </c>
      <c r="J630" t="s">
        <v>1527</v>
      </c>
      <c r="K630" t="s">
        <v>19</v>
      </c>
      <c r="L630" t="s">
        <v>20</v>
      </c>
      <c r="M630">
        <v>95</v>
      </c>
      <c r="N630" t="s">
        <v>21</v>
      </c>
      <c r="O630" t="s">
        <v>22</v>
      </c>
      <c r="P630" t="s">
        <v>23</v>
      </c>
    </row>
    <row r="631" spans="1:16" x14ac:dyDescent="0.3">
      <c r="A631" t="s">
        <v>2007</v>
      </c>
      <c r="B631" t="s">
        <v>2008</v>
      </c>
      <c r="C631" s="1">
        <v>45365</v>
      </c>
      <c r="D631" s="1">
        <v>45365</v>
      </c>
      <c r="E631">
        <v>126</v>
      </c>
      <c r="F631">
        <v>126</v>
      </c>
      <c r="G631">
        <v>0</v>
      </c>
      <c r="H631">
        <v>0</v>
      </c>
      <c r="I631" t="s">
        <v>81</v>
      </c>
      <c r="J631" t="s">
        <v>82</v>
      </c>
      <c r="K631" t="s">
        <v>19</v>
      </c>
      <c r="L631" t="s">
        <v>20</v>
      </c>
      <c r="M631">
        <v>95</v>
      </c>
      <c r="N631" t="s">
        <v>21</v>
      </c>
      <c r="O631" t="s">
        <v>22</v>
      </c>
      <c r="P631" t="s">
        <v>23</v>
      </c>
    </row>
    <row r="632" spans="1:16" x14ac:dyDescent="0.3">
      <c r="A632" t="s">
        <v>2009</v>
      </c>
      <c r="B632" t="s">
        <v>2010</v>
      </c>
      <c r="C632" s="1">
        <v>45366</v>
      </c>
      <c r="D632" s="1">
        <v>45366</v>
      </c>
      <c r="E632">
        <v>300</v>
      </c>
      <c r="F632">
        <v>300</v>
      </c>
      <c r="G632">
        <v>0</v>
      </c>
      <c r="H632">
        <v>0</v>
      </c>
      <c r="I632" t="s">
        <v>108</v>
      </c>
      <c r="J632" t="s">
        <v>109</v>
      </c>
      <c r="K632" t="s">
        <v>19</v>
      </c>
      <c r="L632" t="s">
        <v>110</v>
      </c>
      <c r="M632">
        <v>100</v>
      </c>
      <c r="N632" t="s">
        <v>21</v>
      </c>
      <c r="O632" t="s">
        <v>22</v>
      </c>
      <c r="P632" t="s">
        <v>23</v>
      </c>
    </row>
    <row r="633" spans="1:16" x14ac:dyDescent="0.3">
      <c r="A633" t="s">
        <v>2011</v>
      </c>
      <c r="B633" t="s">
        <v>2012</v>
      </c>
      <c r="C633" s="1">
        <v>45366</v>
      </c>
      <c r="D633" s="1">
        <v>45366</v>
      </c>
      <c r="E633">
        <v>10</v>
      </c>
      <c r="F633">
        <v>10</v>
      </c>
      <c r="G633">
        <v>0</v>
      </c>
      <c r="H633">
        <v>0</v>
      </c>
      <c r="I633" t="s">
        <v>2013</v>
      </c>
      <c r="J633" t="s">
        <v>2014</v>
      </c>
      <c r="K633" t="s">
        <v>91</v>
      </c>
      <c r="L633" t="s">
        <v>92</v>
      </c>
      <c r="M633">
        <v>85</v>
      </c>
      <c r="N633" t="s">
        <v>93</v>
      </c>
      <c r="O633" t="s">
        <v>22</v>
      </c>
      <c r="P633" t="s">
        <v>23</v>
      </c>
    </row>
    <row r="634" spans="1:16" x14ac:dyDescent="0.3">
      <c r="A634" t="s">
        <v>2015</v>
      </c>
      <c r="B634" t="s">
        <v>2016</v>
      </c>
      <c r="C634" s="1">
        <v>45366</v>
      </c>
      <c r="D634" s="1">
        <v>45366</v>
      </c>
      <c r="E634">
        <v>10</v>
      </c>
      <c r="F634">
        <v>10</v>
      </c>
      <c r="G634">
        <v>0</v>
      </c>
      <c r="H634">
        <v>0</v>
      </c>
      <c r="I634" t="s">
        <v>2017</v>
      </c>
      <c r="J634" t="s">
        <v>2018</v>
      </c>
      <c r="K634" t="s">
        <v>19</v>
      </c>
      <c r="L634" t="s">
        <v>20</v>
      </c>
      <c r="M634">
        <v>95</v>
      </c>
      <c r="N634" t="s">
        <v>21</v>
      </c>
      <c r="O634" t="s">
        <v>22</v>
      </c>
      <c r="P634" t="s">
        <v>23</v>
      </c>
    </row>
    <row r="635" spans="1:16" x14ac:dyDescent="0.3">
      <c r="A635" t="s">
        <v>2019</v>
      </c>
      <c r="B635" t="s">
        <v>2020</v>
      </c>
      <c r="C635" s="1">
        <v>45366</v>
      </c>
      <c r="D635" s="1">
        <v>45366</v>
      </c>
      <c r="E635">
        <v>60</v>
      </c>
      <c r="F635">
        <v>60</v>
      </c>
      <c r="G635">
        <v>0</v>
      </c>
      <c r="H635">
        <v>0</v>
      </c>
      <c r="I635" t="s">
        <v>2021</v>
      </c>
      <c r="J635" t="s">
        <v>2022</v>
      </c>
      <c r="K635" t="s">
        <v>19</v>
      </c>
      <c r="L635" t="s">
        <v>20</v>
      </c>
      <c r="M635">
        <v>95</v>
      </c>
      <c r="N635" t="s">
        <v>21</v>
      </c>
      <c r="O635" t="s">
        <v>22</v>
      </c>
      <c r="P635" t="s">
        <v>23</v>
      </c>
    </row>
    <row r="636" spans="1:16" x14ac:dyDescent="0.3">
      <c r="A636" t="s">
        <v>2023</v>
      </c>
      <c r="B636" t="s">
        <v>2024</v>
      </c>
      <c r="C636" s="1">
        <v>45366</v>
      </c>
      <c r="D636" s="1">
        <v>45366</v>
      </c>
      <c r="E636">
        <v>20</v>
      </c>
      <c r="F636">
        <v>20</v>
      </c>
      <c r="G636">
        <v>0</v>
      </c>
      <c r="H636">
        <v>0</v>
      </c>
      <c r="I636" t="s">
        <v>96</v>
      </c>
      <c r="J636" t="s">
        <v>97</v>
      </c>
      <c r="K636" t="s">
        <v>19</v>
      </c>
      <c r="L636" t="s">
        <v>20</v>
      </c>
      <c r="M636">
        <v>95</v>
      </c>
      <c r="N636" t="s">
        <v>21</v>
      </c>
      <c r="O636" t="s">
        <v>22</v>
      </c>
      <c r="P636" t="s">
        <v>23</v>
      </c>
    </row>
    <row r="637" spans="1:16" x14ac:dyDescent="0.3">
      <c r="A637" t="s">
        <v>2025</v>
      </c>
      <c r="B637" t="s">
        <v>2026</v>
      </c>
      <c r="C637" s="1">
        <v>45367</v>
      </c>
      <c r="D637" s="1">
        <v>45367</v>
      </c>
      <c r="E637">
        <v>800</v>
      </c>
      <c r="F637">
        <v>800</v>
      </c>
      <c r="G637">
        <v>0</v>
      </c>
      <c r="H637">
        <v>0</v>
      </c>
      <c r="I637" t="s">
        <v>108</v>
      </c>
      <c r="J637" t="s">
        <v>109</v>
      </c>
      <c r="K637" t="s">
        <v>19</v>
      </c>
      <c r="L637" t="s">
        <v>110</v>
      </c>
      <c r="M637">
        <v>100</v>
      </c>
      <c r="N637" t="s">
        <v>21</v>
      </c>
      <c r="O637" t="s">
        <v>22</v>
      </c>
      <c r="P637" t="s">
        <v>23</v>
      </c>
    </row>
    <row r="638" spans="1:16" x14ac:dyDescent="0.3">
      <c r="A638" t="s">
        <v>2027</v>
      </c>
      <c r="B638" t="s">
        <v>2028</v>
      </c>
      <c r="C638" s="1">
        <v>45367</v>
      </c>
      <c r="D638" s="1">
        <v>45367</v>
      </c>
      <c r="E638">
        <v>241</v>
      </c>
      <c r="F638">
        <v>240.9</v>
      </c>
      <c r="G638">
        <v>0</v>
      </c>
      <c r="H638">
        <v>0</v>
      </c>
      <c r="I638" t="s">
        <v>1526</v>
      </c>
      <c r="J638" t="s">
        <v>1527</v>
      </c>
      <c r="K638" t="s">
        <v>19</v>
      </c>
      <c r="L638" t="s">
        <v>20</v>
      </c>
      <c r="M638">
        <v>95</v>
      </c>
      <c r="N638" t="s">
        <v>21</v>
      </c>
      <c r="O638" t="s">
        <v>22</v>
      </c>
      <c r="P638" t="s">
        <v>23</v>
      </c>
    </row>
    <row r="639" spans="1:16" x14ac:dyDescent="0.3">
      <c r="A639" t="s">
        <v>2029</v>
      </c>
      <c r="B639" t="s">
        <v>2030</v>
      </c>
      <c r="C639" s="1">
        <v>45368</v>
      </c>
      <c r="D639" s="1">
        <v>45368</v>
      </c>
      <c r="E639">
        <v>2150</v>
      </c>
      <c r="F639">
        <v>2150</v>
      </c>
      <c r="G639">
        <v>0</v>
      </c>
      <c r="H639">
        <v>0</v>
      </c>
      <c r="I639" t="s">
        <v>108</v>
      </c>
      <c r="J639" t="s">
        <v>109</v>
      </c>
      <c r="K639" t="s">
        <v>19</v>
      </c>
      <c r="L639" t="s">
        <v>110</v>
      </c>
      <c r="M639">
        <v>100</v>
      </c>
      <c r="N639" t="s">
        <v>21</v>
      </c>
      <c r="O639" t="s">
        <v>22</v>
      </c>
      <c r="P639" t="s">
        <v>23</v>
      </c>
    </row>
    <row r="640" spans="1:16" x14ac:dyDescent="0.3">
      <c r="A640" t="s">
        <v>2031</v>
      </c>
      <c r="B640" t="s">
        <v>2032</v>
      </c>
      <c r="C640" s="1">
        <v>45368</v>
      </c>
      <c r="D640" s="1">
        <v>45368</v>
      </c>
      <c r="E640">
        <v>300</v>
      </c>
      <c r="F640">
        <v>300</v>
      </c>
      <c r="G640">
        <v>0</v>
      </c>
      <c r="H640">
        <v>0</v>
      </c>
      <c r="I640" t="s">
        <v>2033</v>
      </c>
      <c r="J640" t="s">
        <v>2034</v>
      </c>
      <c r="K640" t="s">
        <v>19</v>
      </c>
      <c r="L640" t="s">
        <v>20</v>
      </c>
      <c r="M640">
        <v>95</v>
      </c>
      <c r="N640" t="s">
        <v>21</v>
      </c>
      <c r="O640" t="s">
        <v>22</v>
      </c>
      <c r="P640" t="s">
        <v>23</v>
      </c>
    </row>
    <row r="641" spans="1:16" x14ac:dyDescent="0.3">
      <c r="A641" t="s">
        <v>2035</v>
      </c>
      <c r="B641" t="s">
        <v>2036</v>
      </c>
      <c r="C641" s="1">
        <v>45368</v>
      </c>
      <c r="D641" s="1">
        <v>45368</v>
      </c>
      <c r="E641">
        <v>19</v>
      </c>
      <c r="F641">
        <v>19</v>
      </c>
      <c r="G641">
        <v>0</v>
      </c>
      <c r="H641">
        <v>0</v>
      </c>
      <c r="I641" t="s">
        <v>1526</v>
      </c>
      <c r="J641" t="s">
        <v>1527</v>
      </c>
      <c r="K641" t="s">
        <v>19</v>
      </c>
      <c r="L641" t="s">
        <v>20</v>
      </c>
      <c r="M641">
        <v>95</v>
      </c>
      <c r="N641" t="s">
        <v>21</v>
      </c>
      <c r="O641" t="s">
        <v>22</v>
      </c>
      <c r="P641" t="s">
        <v>23</v>
      </c>
    </row>
    <row r="642" spans="1:16" x14ac:dyDescent="0.3">
      <c r="A642" t="s">
        <v>2037</v>
      </c>
      <c r="B642" t="s">
        <v>2038</v>
      </c>
      <c r="C642" s="1">
        <v>45369</v>
      </c>
      <c r="D642" s="1">
        <v>45369</v>
      </c>
      <c r="E642">
        <v>250</v>
      </c>
      <c r="F642">
        <v>250</v>
      </c>
      <c r="G642">
        <v>0</v>
      </c>
      <c r="H642">
        <v>0</v>
      </c>
      <c r="I642" t="s">
        <v>108</v>
      </c>
      <c r="J642" t="s">
        <v>109</v>
      </c>
      <c r="K642" t="s">
        <v>19</v>
      </c>
      <c r="L642" t="s">
        <v>110</v>
      </c>
      <c r="M642">
        <v>100</v>
      </c>
      <c r="N642" t="s">
        <v>21</v>
      </c>
      <c r="O642" t="s">
        <v>22</v>
      </c>
      <c r="P642" t="s">
        <v>23</v>
      </c>
    </row>
    <row r="643" spans="1:16" x14ac:dyDescent="0.3">
      <c r="A643" t="s">
        <v>2039</v>
      </c>
      <c r="B643" t="s">
        <v>2040</v>
      </c>
      <c r="C643" s="1">
        <v>45369</v>
      </c>
      <c r="D643" s="1">
        <v>45369</v>
      </c>
      <c r="E643">
        <v>10</v>
      </c>
      <c r="F643">
        <v>10</v>
      </c>
      <c r="G643">
        <v>0</v>
      </c>
      <c r="H643">
        <v>0</v>
      </c>
      <c r="I643" t="s">
        <v>2041</v>
      </c>
      <c r="J643" t="s">
        <v>2042</v>
      </c>
      <c r="K643" t="s">
        <v>19</v>
      </c>
      <c r="L643" t="s">
        <v>20</v>
      </c>
      <c r="M643">
        <v>95</v>
      </c>
      <c r="N643" t="s">
        <v>21</v>
      </c>
      <c r="O643" t="s">
        <v>22</v>
      </c>
      <c r="P643" t="s">
        <v>23</v>
      </c>
    </row>
    <row r="644" spans="1:16" x14ac:dyDescent="0.3">
      <c r="A644" t="s">
        <v>2043</v>
      </c>
      <c r="B644" t="s">
        <v>2044</v>
      </c>
      <c r="C644" s="1">
        <v>45370</v>
      </c>
      <c r="D644" s="1">
        <v>45370</v>
      </c>
      <c r="E644">
        <v>1150</v>
      </c>
      <c r="F644">
        <v>1150</v>
      </c>
      <c r="G644">
        <v>0</v>
      </c>
      <c r="H644">
        <v>0</v>
      </c>
      <c r="I644" t="s">
        <v>108</v>
      </c>
      <c r="J644" t="s">
        <v>109</v>
      </c>
      <c r="K644" t="s">
        <v>19</v>
      </c>
      <c r="L644" t="s">
        <v>110</v>
      </c>
      <c r="M644">
        <v>100</v>
      </c>
      <c r="N644" t="s">
        <v>21</v>
      </c>
      <c r="O644" t="s">
        <v>22</v>
      </c>
      <c r="P644" t="s">
        <v>23</v>
      </c>
    </row>
    <row r="645" spans="1:16" x14ac:dyDescent="0.3">
      <c r="A645" t="s">
        <v>2045</v>
      </c>
      <c r="B645" t="s">
        <v>2046</v>
      </c>
      <c r="C645" s="1">
        <v>45370</v>
      </c>
      <c r="D645" s="1">
        <v>45370</v>
      </c>
      <c r="E645">
        <v>30</v>
      </c>
      <c r="F645">
        <v>30</v>
      </c>
      <c r="G645">
        <v>0</v>
      </c>
      <c r="H645">
        <v>0</v>
      </c>
      <c r="I645" t="s">
        <v>81</v>
      </c>
      <c r="J645" t="s">
        <v>82</v>
      </c>
      <c r="K645" t="s">
        <v>19</v>
      </c>
      <c r="L645" t="s">
        <v>20</v>
      </c>
      <c r="M645">
        <v>95</v>
      </c>
      <c r="N645" t="s">
        <v>21</v>
      </c>
      <c r="O645" t="s">
        <v>22</v>
      </c>
      <c r="P645" t="s">
        <v>23</v>
      </c>
    </row>
    <row r="646" spans="1:16" x14ac:dyDescent="0.3">
      <c r="A646" t="s">
        <v>2047</v>
      </c>
      <c r="B646" t="s">
        <v>2048</v>
      </c>
      <c r="C646" s="1">
        <v>45370</v>
      </c>
      <c r="D646" s="1">
        <v>45370</v>
      </c>
      <c r="E646">
        <v>15</v>
      </c>
      <c r="F646">
        <v>15</v>
      </c>
      <c r="G646">
        <v>0</v>
      </c>
      <c r="H646">
        <v>0</v>
      </c>
      <c r="I646" t="s">
        <v>2049</v>
      </c>
      <c r="J646" t="s">
        <v>2050</v>
      </c>
      <c r="K646" t="s">
        <v>19</v>
      </c>
      <c r="L646" t="s">
        <v>20</v>
      </c>
      <c r="M646">
        <v>95</v>
      </c>
      <c r="N646" t="s">
        <v>21</v>
      </c>
      <c r="O646" t="s">
        <v>22</v>
      </c>
      <c r="P646" t="s">
        <v>23</v>
      </c>
    </row>
    <row r="647" spans="1:16" x14ac:dyDescent="0.3">
      <c r="A647" t="s">
        <v>2051</v>
      </c>
      <c r="B647" t="s">
        <v>2052</v>
      </c>
      <c r="C647" s="1">
        <v>45370</v>
      </c>
      <c r="D647" s="1">
        <v>45370</v>
      </c>
      <c r="E647">
        <v>130</v>
      </c>
      <c r="F647">
        <v>130</v>
      </c>
      <c r="G647">
        <v>0</v>
      </c>
      <c r="H647">
        <v>0</v>
      </c>
      <c r="I647" t="s">
        <v>358</v>
      </c>
      <c r="J647" t="s">
        <v>359</v>
      </c>
      <c r="K647" t="s">
        <v>19</v>
      </c>
      <c r="L647" t="s">
        <v>20</v>
      </c>
      <c r="M647">
        <v>95</v>
      </c>
      <c r="N647" t="s">
        <v>21</v>
      </c>
      <c r="O647" t="s">
        <v>22</v>
      </c>
      <c r="P647" t="s">
        <v>23</v>
      </c>
    </row>
    <row r="648" spans="1:16" x14ac:dyDescent="0.3">
      <c r="A648" t="s">
        <v>2053</v>
      </c>
      <c r="B648" t="s">
        <v>2054</v>
      </c>
      <c r="C648" s="1">
        <v>45370</v>
      </c>
      <c r="D648" s="1">
        <v>45370</v>
      </c>
      <c r="E648">
        <v>3000</v>
      </c>
      <c r="F648">
        <v>3000</v>
      </c>
      <c r="G648">
        <v>0</v>
      </c>
      <c r="H648">
        <v>0</v>
      </c>
      <c r="I648" t="s">
        <v>895</v>
      </c>
      <c r="J648" t="s">
        <v>896</v>
      </c>
      <c r="K648" t="s">
        <v>19</v>
      </c>
      <c r="L648" t="s">
        <v>20</v>
      </c>
      <c r="M648">
        <v>95</v>
      </c>
      <c r="N648" t="s">
        <v>21</v>
      </c>
      <c r="O648" t="s">
        <v>22</v>
      </c>
      <c r="P648" t="s">
        <v>23</v>
      </c>
    </row>
    <row r="649" spans="1:16" x14ac:dyDescent="0.3">
      <c r="A649" t="s">
        <v>2055</v>
      </c>
      <c r="B649" t="s">
        <v>2056</v>
      </c>
      <c r="C649" s="1">
        <v>45371</v>
      </c>
      <c r="D649" s="1">
        <v>45371</v>
      </c>
      <c r="E649">
        <v>920</v>
      </c>
      <c r="F649">
        <v>920</v>
      </c>
      <c r="G649">
        <v>0</v>
      </c>
      <c r="H649">
        <v>0</v>
      </c>
      <c r="I649" t="s">
        <v>108</v>
      </c>
      <c r="J649" t="s">
        <v>109</v>
      </c>
      <c r="K649" t="s">
        <v>19</v>
      </c>
      <c r="L649" t="s">
        <v>110</v>
      </c>
      <c r="M649">
        <v>100</v>
      </c>
      <c r="N649" t="s">
        <v>21</v>
      </c>
      <c r="O649" t="s">
        <v>22</v>
      </c>
      <c r="P649" t="s">
        <v>23</v>
      </c>
    </row>
    <row r="650" spans="1:16" x14ac:dyDescent="0.3">
      <c r="A650" t="s">
        <v>2057</v>
      </c>
      <c r="B650" t="s">
        <v>2058</v>
      </c>
      <c r="C650" s="1">
        <v>45371</v>
      </c>
      <c r="D650" s="1">
        <v>45371</v>
      </c>
      <c r="E650">
        <v>12000</v>
      </c>
      <c r="F650">
        <v>12000</v>
      </c>
      <c r="G650">
        <v>0</v>
      </c>
      <c r="H650">
        <v>0</v>
      </c>
      <c r="I650" t="s">
        <v>2059</v>
      </c>
      <c r="J650" t="s">
        <v>2060</v>
      </c>
      <c r="K650" t="s">
        <v>19</v>
      </c>
      <c r="L650" t="s">
        <v>20</v>
      </c>
      <c r="M650">
        <v>95</v>
      </c>
      <c r="N650" t="s">
        <v>21</v>
      </c>
      <c r="O650" t="s">
        <v>22</v>
      </c>
      <c r="P650" t="s">
        <v>23</v>
      </c>
    </row>
    <row r="651" spans="1:16" x14ac:dyDescent="0.3">
      <c r="A651" t="s">
        <v>2061</v>
      </c>
      <c r="B651" t="s">
        <v>2062</v>
      </c>
      <c r="C651" s="1">
        <v>45371</v>
      </c>
      <c r="D651" s="1">
        <v>45371</v>
      </c>
      <c r="E651">
        <v>500</v>
      </c>
      <c r="F651">
        <v>500</v>
      </c>
      <c r="G651">
        <v>0</v>
      </c>
      <c r="H651">
        <v>0</v>
      </c>
      <c r="I651" t="s">
        <v>2063</v>
      </c>
      <c r="J651" t="s">
        <v>2064</v>
      </c>
      <c r="K651" t="s">
        <v>19</v>
      </c>
      <c r="L651" t="s">
        <v>20</v>
      </c>
      <c r="M651">
        <v>95</v>
      </c>
      <c r="N651" t="s">
        <v>21</v>
      </c>
      <c r="O651" t="s">
        <v>22</v>
      </c>
      <c r="P651" t="s">
        <v>23</v>
      </c>
    </row>
    <row r="652" spans="1:16" x14ac:dyDescent="0.3">
      <c r="A652" t="s">
        <v>2065</v>
      </c>
      <c r="B652" t="s">
        <v>2066</v>
      </c>
      <c r="C652" s="1">
        <v>45371</v>
      </c>
      <c r="D652" s="1">
        <v>45371</v>
      </c>
      <c r="E652">
        <v>125</v>
      </c>
      <c r="F652">
        <v>125</v>
      </c>
      <c r="G652">
        <v>0</v>
      </c>
      <c r="H652">
        <v>0</v>
      </c>
      <c r="I652" t="s">
        <v>2067</v>
      </c>
      <c r="J652" t="s">
        <v>2068</v>
      </c>
      <c r="K652" t="s">
        <v>19</v>
      </c>
      <c r="L652" t="s">
        <v>20</v>
      </c>
      <c r="M652">
        <v>95</v>
      </c>
      <c r="N652" t="s">
        <v>21</v>
      </c>
      <c r="O652" t="s">
        <v>22</v>
      </c>
      <c r="P652" t="s">
        <v>23</v>
      </c>
    </row>
    <row r="653" spans="1:16" x14ac:dyDescent="0.3">
      <c r="A653" t="s">
        <v>2069</v>
      </c>
      <c r="B653" t="s">
        <v>2070</v>
      </c>
      <c r="C653" s="1">
        <v>45372</v>
      </c>
      <c r="D653" s="1">
        <v>45372</v>
      </c>
      <c r="E653">
        <v>270</v>
      </c>
      <c r="F653">
        <v>270</v>
      </c>
      <c r="G653">
        <v>0</v>
      </c>
      <c r="H653">
        <v>0</v>
      </c>
      <c r="I653" t="s">
        <v>108</v>
      </c>
      <c r="J653" t="s">
        <v>109</v>
      </c>
      <c r="K653" t="s">
        <v>19</v>
      </c>
      <c r="L653" t="s">
        <v>110</v>
      </c>
      <c r="M653">
        <v>100</v>
      </c>
      <c r="N653" t="s">
        <v>21</v>
      </c>
      <c r="O653" t="s">
        <v>22</v>
      </c>
      <c r="P653" t="s">
        <v>23</v>
      </c>
    </row>
    <row r="654" spans="1:16" x14ac:dyDescent="0.3">
      <c r="A654" t="s">
        <v>2071</v>
      </c>
      <c r="B654" t="s">
        <v>2072</v>
      </c>
      <c r="C654" s="1">
        <v>45372</v>
      </c>
      <c r="D654" s="1">
        <v>45372</v>
      </c>
      <c r="E654">
        <v>170</v>
      </c>
      <c r="F654">
        <v>170</v>
      </c>
      <c r="G654">
        <v>0</v>
      </c>
      <c r="H654">
        <v>0</v>
      </c>
      <c r="I654" t="s">
        <v>2073</v>
      </c>
      <c r="J654" t="s">
        <v>2074</v>
      </c>
      <c r="K654" t="s">
        <v>19</v>
      </c>
      <c r="L654" t="s">
        <v>20</v>
      </c>
      <c r="M654">
        <v>95</v>
      </c>
      <c r="N654" t="s">
        <v>21</v>
      </c>
      <c r="O654" t="s">
        <v>22</v>
      </c>
      <c r="P654" t="s">
        <v>23</v>
      </c>
    </row>
    <row r="655" spans="1:16" x14ac:dyDescent="0.3">
      <c r="A655" t="s">
        <v>2075</v>
      </c>
      <c r="B655" t="s">
        <v>2076</v>
      </c>
      <c r="C655" s="1">
        <v>45372</v>
      </c>
      <c r="D655" s="1">
        <v>45372</v>
      </c>
      <c r="E655">
        <v>5</v>
      </c>
      <c r="F655">
        <v>4.75</v>
      </c>
      <c r="G655">
        <v>-0.25</v>
      </c>
      <c r="H655">
        <v>0</v>
      </c>
      <c r="I655" t="s">
        <v>81</v>
      </c>
      <c r="J655" t="s">
        <v>82</v>
      </c>
      <c r="K655" t="s">
        <v>278</v>
      </c>
      <c r="L655" t="s">
        <v>2077</v>
      </c>
      <c r="M655">
        <v>80</v>
      </c>
      <c r="N655" t="s">
        <v>93</v>
      </c>
      <c r="O655" t="s">
        <v>22</v>
      </c>
      <c r="P655" t="s">
        <v>23</v>
      </c>
    </row>
    <row r="656" spans="1:16" x14ac:dyDescent="0.3">
      <c r="A656" t="s">
        <v>2078</v>
      </c>
      <c r="B656" t="s">
        <v>2079</v>
      </c>
      <c r="C656" s="1">
        <v>45373</v>
      </c>
      <c r="D656" s="1">
        <v>45373</v>
      </c>
      <c r="E656">
        <v>1370</v>
      </c>
      <c r="F656">
        <v>1370</v>
      </c>
      <c r="G656">
        <v>0</v>
      </c>
      <c r="H656">
        <v>0</v>
      </c>
      <c r="I656" t="s">
        <v>108</v>
      </c>
      <c r="J656" t="s">
        <v>109</v>
      </c>
      <c r="K656" t="s">
        <v>19</v>
      </c>
      <c r="L656" t="s">
        <v>110</v>
      </c>
      <c r="M656">
        <v>100</v>
      </c>
      <c r="N656" t="s">
        <v>21</v>
      </c>
      <c r="O656" t="s">
        <v>22</v>
      </c>
      <c r="P656" t="s">
        <v>23</v>
      </c>
    </row>
    <row r="657" spans="1:16" x14ac:dyDescent="0.3">
      <c r="A657" t="s">
        <v>2080</v>
      </c>
      <c r="B657" t="s">
        <v>2081</v>
      </c>
      <c r="C657" s="1">
        <v>45373</v>
      </c>
      <c r="D657" s="1">
        <v>45373</v>
      </c>
      <c r="E657">
        <v>3000</v>
      </c>
      <c r="F657">
        <v>3000</v>
      </c>
      <c r="G657">
        <v>0</v>
      </c>
      <c r="H657">
        <v>0</v>
      </c>
      <c r="I657" t="s">
        <v>2082</v>
      </c>
      <c r="J657" t="s">
        <v>2083</v>
      </c>
      <c r="K657" t="s">
        <v>19</v>
      </c>
      <c r="L657" t="s">
        <v>20</v>
      </c>
      <c r="M657">
        <v>95</v>
      </c>
      <c r="N657" t="s">
        <v>21</v>
      </c>
      <c r="O657" t="s">
        <v>22</v>
      </c>
      <c r="P657" t="s">
        <v>23</v>
      </c>
    </row>
    <row r="658" spans="1:16" x14ac:dyDescent="0.3">
      <c r="A658" t="s">
        <v>2084</v>
      </c>
      <c r="B658" t="s">
        <v>2085</v>
      </c>
      <c r="C658" s="1">
        <v>45373</v>
      </c>
      <c r="D658" s="1">
        <v>45373</v>
      </c>
      <c r="E658">
        <v>11</v>
      </c>
      <c r="F658">
        <v>11</v>
      </c>
      <c r="G658">
        <v>0</v>
      </c>
      <c r="H658">
        <v>0</v>
      </c>
      <c r="I658" t="s">
        <v>81</v>
      </c>
      <c r="J658" t="s">
        <v>82</v>
      </c>
      <c r="K658" t="s">
        <v>19</v>
      </c>
      <c r="L658" t="s">
        <v>20</v>
      </c>
      <c r="M658">
        <v>95</v>
      </c>
      <c r="N658" t="s">
        <v>21</v>
      </c>
      <c r="O658" t="s">
        <v>22</v>
      </c>
      <c r="P658" t="s">
        <v>23</v>
      </c>
    </row>
    <row r="659" spans="1:16" x14ac:dyDescent="0.3">
      <c r="A659" t="s">
        <v>2086</v>
      </c>
      <c r="B659" t="s">
        <v>2087</v>
      </c>
      <c r="C659" s="1">
        <v>45373</v>
      </c>
      <c r="D659" s="1">
        <v>45373</v>
      </c>
      <c r="E659">
        <v>100</v>
      </c>
      <c r="F659">
        <v>100</v>
      </c>
      <c r="G659">
        <v>0</v>
      </c>
      <c r="H659">
        <v>0</v>
      </c>
      <c r="I659" t="s">
        <v>2088</v>
      </c>
      <c r="J659" t="s">
        <v>2089</v>
      </c>
      <c r="K659" t="s">
        <v>19</v>
      </c>
      <c r="L659" t="s">
        <v>20</v>
      </c>
      <c r="M659">
        <v>95</v>
      </c>
      <c r="N659" t="s">
        <v>21</v>
      </c>
      <c r="O659" t="s">
        <v>22</v>
      </c>
      <c r="P659" t="s">
        <v>23</v>
      </c>
    </row>
    <row r="660" spans="1:16" x14ac:dyDescent="0.3">
      <c r="A660" t="s">
        <v>2090</v>
      </c>
      <c r="B660" t="s">
        <v>2091</v>
      </c>
      <c r="C660" s="1">
        <v>45374</v>
      </c>
      <c r="D660" s="1">
        <v>45374</v>
      </c>
      <c r="E660">
        <v>4380</v>
      </c>
      <c r="F660">
        <v>4380</v>
      </c>
      <c r="G660">
        <v>0</v>
      </c>
      <c r="H660">
        <v>0</v>
      </c>
      <c r="I660" t="s">
        <v>153</v>
      </c>
      <c r="J660" t="s">
        <v>153</v>
      </c>
      <c r="K660" t="s">
        <v>19</v>
      </c>
      <c r="L660" t="s">
        <v>20</v>
      </c>
      <c r="M660">
        <v>95</v>
      </c>
      <c r="N660" t="s">
        <v>21</v>
      </c>
      <c r="O660" t="s">
        <v>22</v>
      </c>
      <c r="P660" t="s">
        <v>23</v>
      </c>
    </row>
    <row r="661" spans="1:16" x14ac:dyDescent="0.3">
      <c r="A661" t="s">
        <v>2092</v>
      </c>
      <c r="B661" t="s">
        <v>2093</v>
      </c>
      <c r="C661" s="1">
        <v>45374</v>
      </c>
      <c r="D661" s="1">
        <v>45374</v>
      </c>
      <c r="E661">
        <v>130</v>
      </c>
      <c r="F661">
        <v>130</v>
      </c>
      <c r="G661">
        <v>0</v>
      </c>
      <c r="H661">
        <v>0</v>
      </c>
      <c r="I661" t="s">
        <v>358</v>
      </c>
      <c r="J661" t="s">
        <v>359</v>
      </c>
      <c r="K661" t="s">
        <v>19</v>
      </c>
      <c r="L661" t="s">
        <v>20</v>
      </c>
      <c r="M661">
        <v>95</v>
      </c>
      <c r="N661" t="s">
        <v>21</v>
      </c>
      <c r="O661" t="s">
        <v>22</v>
      </c>
      <c r="P661" t="s">
        <v>23</v>
      </c>
    </row>
    <row r="662" spans="1:16" x14ac:dyDescent="0.3">
      <c r="A662" t="s">
        <v>2094</v>
      </c>
      <c r="B662" t="s">
        <v>2095</v>
      </c>
      <c r="C662" s="1">
        <v>45375</v>
      </c>
      <c r="D662" s="1">
        <v>45375</v>
      </c>
      <c r="E662">
        <v>4300</v>
      </c>
      <c r="F662">
        <v>4300</v>
      </c>
      <c r="G662">
        <v>0</v>
      </c>
      <c r="H662">
        <v>0</v>
      </c>
      <c r="I662" t="s">
        <v>108</v>
      </c>
      <c r="J662" t="s">
        <v>109</v>
      </c>
      <c r="K662" t="s">
        <v>19</v>
      </c>
      <c r="L662" t="s">
        <v>110</v>
      </c>
      <c r="M662">
        <v>100</v>
      </c>
      <c r="N662" t="s">
        <v>21</v>
      </c>
      <c r="O662" t="s">
        <v>22</v>
      </c>
      <c r="P662" t="s">
        <v>23</v>
      </c>
    </row>
    <row r="663" spans="1:16" x14ac:dyDescent="0.3">
      <c r="A663" t="s">
        <v>2096</v>
      </c>
      <c r="B663" t="s">
        <v>2097</v>
      </c>
      <c r="C663" s="1">
        <v>45375</v>
      </c>
      <c r="D663" s="1">
        <v>45375</v>
      </c>
      <c r="E663">
        <v>40</v>
      </c>
      <c r="F663">
        <v>40</v>
      </c>
      <c r="G663">
        <v>0</v>
      </c>
      <c r="H663">
        <v>0</v>
      </c>
      <c r="I663" t="s">
        <v>2098</v>
      </c>
      <c r="J663" t="s">
        <v>2099</v>
      </c>
      <c r="K663" t="s">
        <v>19</v>
      </c>
      <c r="L663" t="s">
        <v>20</v>
      </c>
      <c r="M663">
        <v>95</v>
      </c>
      <c r="N663" t="s">
        <v>21</v>
      </c>
      <c r="O663" t="s">
        <v>22</v>
      </c>
      <c r="P663" t="s">
        <v>23</v>
      </c>
    </row>
    <row r="664" spans="1:16" x14ac:dyDescent="0.3">
      <c r="A664" t="s">
        <v>2100</v>
      </c>
      <c r="B664" t="s">
        <v>2101</v>
      </c>
      <c r="C664" s="1">
        <v>45375</v>
      </c>
      <c r="D664" s="1">
        <v>45375</v>
      </c>
      <c r="E664">
        <v>1500</v>
      </c>
      <c r="F664">
        <v>1500</v>
      </c>
      <c r="G664">
        <v>0</v>
      </c>
      <c r="H664">
        <v>0</v>
      </c>
      <c r="I664" t="s">
        <v>2102</v>
      </c>
      <c r="J664" t="s">
        <v>2103</v>
      </c>
      <c r="K664" t="s">
        <v>19</v>
      </c>
      <c r="L664" t="s">
        <v>20</v>
      </c>
      <c r="M664">
        <v>95</v>
      </c>
      <c r="N664" t="s">
        <v>21</v>
      </c>
      <c r="O664" t="s">
        <v>22</v>
      </c>
      <c r="P664" t="s">
        <v>23</v>
      </c>
    </row>
    <row r="665" spans="1:16" x14ac:dyDescent="0.3">
      <c r="A665" t="s">
        <v>2104</v>
      </c>
      <c r="B665" t="s">
        <v>2105</v>
      </c>
      <c r="C665" s="1">
        <v>45375</v>
      </c>
      <c r="D665" s="1">
        <v>45375</v>
      </c>
      <c r="E665">
        <v>500</v>
      </c>
      <c r="F665">
        <v>500</v>
      </c>
      <c r="G665">
        <v>0</v>
      </c>
      <c r="H665">
        <v>0</v>
      </c>
      <c r="I665" t="s">
        <v>2106</v>
      </c>
      <c r="J665" t="s">
        <v>2107</v>
      </c>
      <c r="K665" t="s">
        <v>19</v>
      </c>
      <c r="L665" t="s">
        <v>20</v>
      </c>
      <c r="M665">
        <v>95</v>
      </c>
      <c r="N665" t="s">
        <v>21</v>
      </c>
      <c r="O665" t="s">
        <v>22</v>
      </c>
      <c r="P665" t="s">
        <v>23</v>
      </c>
    </row>
    <row r="666" spans="1:16" x14ac:dyDescent="0.3">
      <c r="A666" t="s">
        <v>2108</v>
      </c>
      <c r="B666" t="s">
        <v>2109</v>
      </c>
      <c r="C666" s="1">
        <v>45375</v>
      </c>
      <c r="D666" s="1">
        <v>45375</v>
      </c>
      <c r="E666">
        <v>200</v>
      </c>
      <c r="F666">
        <v>200</v>
      </c>
      <c r="G666">
        <v>0</v>
      </c>
      <c r="H666">
        <v>0</v>
      </c>
      <c r="I666" t="s">
        <v>2110</v>
      </c>
      <c r="J666" t="s">
        <v>2111</v>
      </c>
      <c r="K666" t="s">
        <v>19</v>
      </c>
      <c r="L666" t="s">
        <v>20</v>
      </c>
      <c r="M666">
        <v>95</v>
      </c>
      <c r="N666" t="s">
        <v>21</v>
      </c>
      <c r="O666" t="s">
        <v>22</v>
      </c>
      <c r="P666" t="s">
        <v>23</v>
      </c>
    </row>
    <row r="667" spans="1:16" x14ac:dyDescent="0.3">
      <c r="A667" t="s">
        <v>2112</v>
      </c>
      <c r="B667" t="s">
        <v>2113</v>
      </c>
      <c r="C667" s="1">
        <v>45376</v>
      </c>
      <c r="D667" s="1">
        <v>45378</v>
      </c>
      <c r="E667">
        <v>30</v>
      </c>
      <c r="F667">
        <v>30</v>
      </c>
      <c r="G667">
        <v>0</v>
      </c>
      <c r="H667">
        <v>2</v>
      </c>
      <c r="I667" t="s">
        <v>81</v>
      </c>
      <c r="J667" t="s">
        <v>82</v>
      </c>
      <c r="K667" t="s">
        <v>235</v>
      </c>
      <c r="L667" t="s">
        <v>236</v>
      </c>
      <c r="M667">
        <v>75</v>
      </c>
      <c r="N667" t="s">
        <v>93</v>
      </c>
      <c r="O667" t="s">
        <v>22</v>
      </c>
      <c r="P667" t="s">
        <v>23</v>
      </c>
    </row>
    <row r="668" spans="1:16" x14ac:dyDescent="0.3">
      <c r="A668" t="s">
        <v>2114</v>
      </c>
      <c r="B668" t="s">
        <v>2115</v>
      </c>
      <c r="C668" s="1">
        <v>45376</v>
      </c>
      <c r="D668" s="1">
        <v>45376</v>
      </c>
      <c r="E668">
        <v>100</v>
      </c>
      <c r="F668">
        <v>100</v>
      </c>
      <c r="G668">
        <v>0</v>
      </c>
      <c r="H668">
        <v>0</v>
      </c>
      <c r="I668" t="s">
        <v>2116</v>
      </c>
      <c r="J668" t="s">
        <v>2117</v>
      </c>
      <c r="K668" t="s">
        <v>19</v>
      </c>
      <c r="L668" t="s">
        <v>20</v>
      </c>
      <c r="M668">
        <v>95</v>
      </c>
      <c r="N668" t="s">
        <v>21</v>
      </c>
      <c r="O668" t="s">
        <v>22</v>
      </c>
      <c r="P668" t="s">
        <v>23</v>
      </c>
    </row>
    <row r="669" spans="1:16" x14ac:dyDescent="0.3">
      <c r="A669" t="s">
        <v>2118</v>
      </c>
      <c r="B669" t="s">
        <v>2119</v>
      </c>
      <c r="C669" s="1">
        <v>45376</v>
      </c>
      <c r="D669" s="1">
        <v>45310</v>
      </c>
      <c r="E669">
        <v>19</v>
      </c>
      <c r="F669">
        <v>240.9</v>
      </c>
      <c r="G669">
        <v>221.9</v>
      </c>
      <c r="H669">
        <v>-66</v>
      </c>
      <c r="I669" t="s">
        <v>719</v>
      </c>
      <c r="J669" t="s">
        <v>720</v>
      </c>
      <c r="K669" t="s">
        <v>278</v>
      </c>
      <c r="L669" t="s">
        <v>2120</v>
      </c>
      <c r="M669">
        <v>80</v>
      </c>
      <c r="N669" t="s">
        <v>93</v>
      </c>
      <c r="O669" t="s">
        <v>219</v>
      </c>
      <c r="P669" t="s">
        <v>220</v>
      </c>
    </row>
    <row r="670" spans="1:16" x14ac:dyDescent="0.3">
      <c r="A670" t="s">
        <v>2121</v>
      </c>
      <c r="B670" t="s">
        <v>2122</v>
      </c>
      <c r="C670" s="1">
        <v>45377</v>
      </c>
      <c r="D670" s="1">
        <v>45377</v>
      </c>
      <c r="E670">
        <v>120</v>
      </c>
      <c r="F670">
        <v>120</v>
      </c>
      <c r="G670">
        <v>0</v>
      </c>
      <c r="H670">
        <v>0</v>
      </c>
      <c r="I670" t="s">
        <v>2123</v>
      </c>
      <c r="J670" t="s">
        <v>2124</v>
      </c>
      <c r="K670" t="s">
        <v>19</v>
      </c>
      <c r="L670" t="s">
        <v>20</v>
      </c>
      <c r="M670">
        <v>95</v>
      </c>
      <c r="N670" t="s">
        <v>21</v>
      </c>
      <c r="O670" t="s">
        <v>22</v>
      </c>
      <c r="P670" t="s">
        <v>23</v>
      </c>
    </row>
    <row r="671" spans="1:16" x14ac:dyDescent="0.3">
      <c r="A671" t="s">
        <v>2125</v>
      </c>
      <c r="B671" t="s">
        <v>2126</v>
      </c>
      <c r="C671" s="1">
        <v>45378</v>
      </c>
      <c r="D671" s="1">
        <v>45378</v>
      </c>
      <c r="E671">
        <v>10</v>
      </c>
      <c r="F671">
        <v>10</v>
      </c>
      <c r="G671">
        <v>0</v>
      </c>
      <c r="H671">
        <v>0</v>
      </c>
      <c r="I671" t="s">
        <v>2127</v>
      </c>
      <c r="J671" t="s">
        <v>2128</v>
      </c>
      <c r="K671" t="s">
        <v>19</v>
      </c>
      <c r="L671" t="s">
        <v>20</v>
      </c>
      <c r="M671">
        <v>95</v>
      </c>
      <c r="N671" t="s">
        <v>21</v>
      </c>
      <c r="O671" t="s">
        <v>22</v>
      </c>
      <c r="P671" t="s">
        <v>23</v>
      </c>
    </row>
    <row r="672" spans="1:16" x14ac:dyDescent="0.3">
      <c r="A672" t="s">
        <v>2129</v>
      </c>
      <c r="B672" t="s">
        <v>2130</v>
      </c>
      <c r="C672" s="1">
        <v>45378</v>
      </c>
      <c r="D672" s="1">
        <v>45378</v>
      </c>
      <c r="E672">
        <v>50</v>
      </c>
      <c r="F672">
        <v>50</v>
      </c>
      <c r="G672">
        <v>0</v>
      </c>
      <c r="H672">
        <v>0</v>
      </c>
      <c r="I672" t="s">
        <v>67</v>
      </c>
      <c r="J672" t="s">
        <v>68</v>
      </c>
      <c r="K672" t="s">
        <v>19</v>
      </c>
      <c r="L672" t="s">
        <v>20</v>
      </c>
      <c r="M672">
        <v>95</v>
      </c>
      <c r="N672" t="s">
        <v>21</v>
      </c>
      <c r="O672" t="s">
        <v>22</v>
      </c>
      <c r="P672" t="s">
        <v>23</v>
      </c>
    </row>
    <row r="673" spans="1:16" x14ac:dyDescent="0.3">
      <c r="A673" t="s">
        <v>2131</v>
      </c>
      <c r="B673" t="s">
        <v>2132</v>
      </c>
      <c r="C673" s="1">
        <v>45378</v>
      </c>
      <c r="D673" s="1">
        <v>45378</v>
      </c>
      <c r="E673">
        <v>20</v>
      </c>
      <c r="F673">
        <v>20</v>
      </c>
      <c r="G673">
        <v>0</v>
      </c>
      <c r="H673">
        <v>0</v>
      </c>
      <c r="I673" t="s">
        <v>2133</v>
      </c>
      <c r="J673" t="s">
        <v>2134</v>
      </c>
      <c r="K673" t="s">
        <v>91</v>
      </c>
      <c r="L673" t="s">
        <v>92</v>
      </c>
      <c r="M673">
        <v>85</v>
      </c>
      <c r="N673" t="s">
        <v>93</v>
      </c>
      <c r="O673" t="s">
        <v>219</v>
      </c>
      <c r="P673" t="s">
        <v>220</v>
      </c>
    </row>
    <row r="674" spans="1:16" x14ac:dyDescent="0.3">
      <c r="A674" t="s">
        <v>2135</v>
      </c>
      <c r="B674" t="s">
        <v>2136</v>
      </c>
      <c r="C674" s="1">
        <v>45378</v>
      </c>
      <c r="D674" s="1">
        <v>45378</v>
      </c>
      <c r="E674">
        <v>15</v>
      </c>
      <c r="F674">
        <v>15</v>
      </c>
      <c r="G674">
        <v>0</v>
      </c>
      <c r="H674">
        <v>0</v>
      </c>
      <c r="I674" t="s">
        <v>81</v>
      </c>
      <c r="J674" t="s">
        <v>82</v>
      </c>
      <c r="K674" t="s">
        <v>19</v>
      </c>
      <c r="L674" t="s">
        <v>20</v>
      </c>
      <c r="M674">
        <v>95</v>
      </c>
      <c r="N674" t="s">
        <v>21</v>
      </c>
      <c r="O674" t="s">
        <v>22</v>
      </c>
      <c r="P674" t="s">
        <v>23</v>
      </c>
    </row>
    <row r="675" spans="1:16" x14ac:dyDescent="0.3">
      <c r="A675" t="s">
        <v>2137</v>
      </c>
      <c r="B675" t="s">
        <v>2138</v>
      </c>
      <c r="C675" s="1">
        <v>45379</v>
      </c>
      <c r="D675" s="1">
        <v>45379</v>
      </c>
      <c r="E675">
        <v>50</v>
      </c>
      <c r="F675">
        <v>50</v>
      </c>
      <c r="G675">
        <v>0</v>
      </c>
      <c r="H675">
        <v>0</v>
      </c>
      <c r="I675" t="s">
        <v>81</v>
      </c>
      <c r="J675" t="s">
        <v>82</v>
      </c>
      <c r="K675" t="s">
        <v>19</v>
      </c>
      <c r="L675" t="s">
        <v>20</v>
      </c>
      <c r="M675">
        <v>95</v>
      </c>
      <c r="N675" t="s">
        <v>21</v>
      </c>
      <c r="O675" t="s">
        <v>22</v>
      </c>
      <c r="P675" t="s">
        <v>23</v>
      </c>
    </row>
    <row r="676" spans="1:16" x14ac:dyDescent="0.3">
      <c r="A676" t="s">
        <v>2139</v>
      </c>
      <c r="B676" t="s">
        <v>2140</v>
      </c>
      <c r="C676" s="1">
        <v>45379</v>
      </c>
      <c r="D676" s="1">
        <v>45379</v>
      </c>
      <c r="E676">
        <v>10</v>
      </c>
      <c r="F676">
        <v>10</v>
      </c>
      <c r="G676">
        <v>0</v>
      </c>
      <c r="H676">
        <v>0</v>
      </c>
      <c r="I676" t="s">
        <v>81</v>
      </c>
      <c r="J676" t="s">
        <v>82</v>
      </c>
      <c r="K676" t="s">
        <v>91</v>
      </c>
      <c r="L676" t="s">
        <v>92</v>
      </c>
      <c r="M676">
        <v>85</v>
      </c>
      <c r="N676" t="s">
        <v>93</v>
      </c>
      <c r="O676" t="s">
        <v>219</v>
      </c>
      <c r="P676" t="s">
        <v>220</v>
      </c>
    </row>
    <row r="677" spans="1:16" x14ac:dyDescent="0.3">
      <c r="A677" t="s">
        <v>2141</v>
      </c>
      <c r="B677" t="s">
        <v>2142</v>
      </c>
      <c r="C677" s="1">
        <v>45379</v>
      </c>
      <c r="D677" s="1">
        <v>45379</v>
      </c>
      <c r="E677">
        <v>500</v>
      </c>
      <c r="F677">
        <v>500</v>
      </c>
      <c r="G677">
        <v>0</v>
      </c>
      <c r="H677">
        <v>0</v>
      </c>
      <c r="I677" t="s">
        <v>2143</v>
      </c>
      <c r="J677" t="s">
        <v>2144</v>
      </c>
      <c r="K677" t="s">
        <v>19</v>
      </c>
      <c r="L677" t="s">
        <v>20</v>
      </c>
      <c r="M677">
        <v>95</v>
      </c>
      <c r="N677" t="s">
        <v>21</v>
      </c>
      <c r="O677" t="s">
        <v>22</v>
      </c>
      <c r="P677" t="s">
        <v>23</v>
      </c>
    </row>
    <row r="678" spans="1:16" x14ac:dyDescent="0.3">
      <c r="A678" t="s">
        <v>2145</v>
      </c>
      <c r="B678" t="s">
        <v>2146</v>
      </c>
      <c r="C678" s="1">
        <v>45379</v>
      </c>
      <c r="D678" s="1">
        <v>45379</v>
      </c>
      <c r="E678">
        <v>5000</v>
      </c>
      <c r="F678">
        <v>5000</v>
      </c>
      <c r="G678">
        <v>0</v>
      </c>
      <c r="H678">
        <v>0</v>
      </c>
      <c r="I678" t="s">
        <v>2147</v>
      </c>
      <c r="J678" t="s">
        <v>2148</v>
      </c>
      <c r="K678" t="s">
        <v>19</v>
      </c>
      <c r="L678" t="s">
        <v>20</v>
      </c>
      <c r="M678">
        <v>95</v>
      </c>
      <c r="N678" t="s">
        <v>21</v>
      </c>
      <c r="O678" t="s">
        <v>22</v>
      </c>
      <c r="P678" t="s">
        <v>23</v>
      </c>
    </row>
    <row r="679" spans="1:16" x14ac:dyDescent="0.3">
      <c r="A679" t="s">
        <v>2149</v>
      </c>
      <c r="B679" t="s">
        <v>2150</v>
      </c>
      <c r="C679" s="1">
        <v>45379</v>
      </c>
      <c r="D679" s="1">
        <v>45379</v>
      </c>
      <c r="E679">
        <v>5000</v>
      </c>
      <c r="F679">
        <v>5000</v>
      </c>
      <c r="G679">
        <v>0</v>
      </c>
      <c r="H679">
        <v>0</v>
      </c>
      <c r="I679" t="s">
        <v>2151</v>
      </c>
      <c r="J679" t="s">
        <v>2152</v>
      </c>
      <c r="K679" t="s">
        <v>19</v>
      </c>
      <c r="L679" t="s">
        <v>20</v>
      </c>
      <c r="M679">
        <v>95</v>
      </c>
      <c r="N679" t="s">
        <v>21</v>
      </c>
      <c r="O679" t="s">
        <v>22</v>
      </c>
      <c r="P679" t="s">
        <v>23</v>
      </c>
    </row>
    <row r="680" spans="1:16" x14ac:dyDescent="0.3">
      <c r="A680" t="s">
        <v>2153</v>
      </c>
      <c r="B680" t="s">
        <v>2154</v>
      </c>
      <c r="C680" s="1">
        <v>45379</v>
      </c>
      <c r="D680" s="1">
        <v>45379</v>
      </c>
      <c r="E680">
        <v>10</v>
      </c>
      <c r="F680">
        <v>10</v>
      </c>
      <c r="G680">
        <v>0</v>
      </c>
      <c r="H680">
        <v>0</v>
      </c>
      <c r="I680" t="s">
        <v>81</v>
      </c>
      <c r="J680" t="s">
        <v>82</v>
      </c>
      <c r="K680" t="s">
        <v>19</v>
      </c>
      <c r="L680" t="s">
        <v>20</v>
      </c>
      <c r="M680">
        <v>95</v>
      </c>
      <c r="N680" t="s">
        <v>21</v>
      </c>
      <c r="O680" t="s">
        <v>219</v>
      </c>
      <c r="P680" t="s">
        <v>220</v>
      </c>
    </row>
    <row r="681" spans="1:16" x14ac:dyDescent="0.3">
      <c r="A681" t="s">
        <v>2155</v>
      </c>
      <c r="B681" t="s">
        <v>2156</v>
      </c>
      <c r="C681" s="1">
        <v>45380</v>
      </c>
      <c r="D681" s="1">
        <v>45380</v>
      </c>
      <c r="E681">
        <v>170</v>
      </c>
      <c r="F681">
        <v>170</v>
      </c>
      <c r="G681">
        <v>0</v>
      </c>
      <c r="H681">
        <v>0</v>
      </c>
      <c r="I681" t="s">
        <v>108</v>
      </c>
      <c r="J681" t="s">
        <v>109</v>
      </c>
      <c r="K681" t="s">
        <v>19</v>
      </c>
      <c r="L681" t="s">
        <v>110</v>
      </c>
      <c r="M681">
        <v>100</v>
      </c>
      <c r="N681" t="s">
        <v>21</v>
      </c>
      <c r="O681" t="s">
        <v>22</v>
      </c>
      <c r="P681" t="s">
        <v>23</v>
      </c>
    </row>
    <row r="682" spans="1:16" x14ac:dyDescent="0.3">
      <c r="A682" t="s">
        <v>2157</v>
      </c>
      <c r="B682" t="s">
        <v>2158</v>
      </c>
      <c r="C682" s="1">
        <v>45380</v>
      </c>
      <c r="D682" s="1">
        <v>45380</v>
      </c>
      <c r="E682">
        <v>500</v>
      </c>
      <c r="F682">
        <v>500</v>
      </c>
      <c r="G682">
        <v>0</v>
      </c>
      <c r="H682">
        <v>0</v>
      </c>
      <c r="I682" t="s">
        <v>2159</v>
      </c>
      <c r="J682" t="s">
        <v>2160</v>
      </c>
      <c r="K682" t="s">
        <v>19</v>
      </c>
      <c r="L682" t="s">
        <v>20</v>
      </c>
      <c r="M682">
        <v>95</v>
      </c>
      <c r="N682" t="s">
        <v>21</v>
      </c>
      <c r="O682" t="s">
        <v>22</v>
      </c>
      <c r="P682" t="s">
        <v>23</v>
      </c>
    </row>
    <row r="683" spans="1:16" x14ac:dyDescent="0.3">
      <c r="A683" t="s">
        <v>2161</v>
      </c>
      <c r="B683" t="s">
        <v>2162</v>
      </c>
      <c r="C683" s="1">
        <v>45380</v>
      </c>
      <c r="D683" s="1">
        <v>45380</v>
      </c>
      <c r="E683">
        <v>260</v>
      </c>
      <c r="F683">
        <v>260</v>
      </c>
      <c r="G683">
        <v>0</v>
      </c>
      <c r="H683">
        <v>0</v>
      </c>
      <c r="I683" t="s">
        <v>358</v>
      </c>
      <c r="J683" t="s">
        <v>359</v>
      </c>
      <c r="K683" t="s">
        <v>19</v>
      </c>
      <c r="L683" t="s">
        <v>20</v>
      </c>
      <c r="M683">
        <v>95</v>
      </c>
      <c r="N683" t="s">
        <v>21</v>
      </c>
      <c r="O683" t="s">
        <v>22</v>
      </c>
      <c r="P683" t="s">
        <v>23</v>
      </c>
    </row>
    <row r="684" spans="1:16" x14ac:dyDescent="0.3">
      <c r="A684" t="s">
        <v>2163</v>
      </c>
      <c r="B684" t="s">
        <v>2164</v>
      </c>
      <c r="C684" s="1">
        <v>45380</v>
      </c>
      <c r="D684" s="1">
        <v>45380</v>
      </c>
      <c r="E684">
        <v>10</v>
      </c>
      <c r="F684">
        <v>10</v>
      </c>
      <c r="G684">
        <v>0</v>
      </c>
      <c r="H684">
        <v>0</v>
      </c>
      <c r="I684" t="s">
        <v>2133</v>
      </c>
      <c r="J684" t="s">
        <v>2134</v>
      </c>
      <c r="K684" t="s">
        <v>91</v>
      </c>
      <c r="L684" t="s">
        <v>92</v>
      </c>
      <c r="M684">
        <v>85</v>
      </c>
      <c r="N684" t="s">
        <v>93</v>
      </c>
      <c r="O684" t="s">
        <v>22</v>
      </c>
      <c r="P684" t="s">
        <v>23</v>
      </c>
    </row>
    <row r="685" spans="1:16" x14ac:dyDescent="0.3">
      <c r="A685" t="s">
        <v>2165</v>
      </c>
      <c r="B685" t="s">
        <v>2166</v>
      </c>
      <c r="C685" s="1">
        <v>45380</v>
      </c>
      <c r="D685" s="1">
        <v>45380</v>
      </c>
      <c r="E685">
        <v>10</v>
      </c>
      <c r="F685">
        <v>10</v>
      </c>
      <c r="G685">
        <v>0</v>
      </c>
      <c r="H685">
        <v>0</v>
      </c>
      <c r="I685" t="s">
        <v>81</v>
      </c>
      <c r="J685" t="s">
        <v>82</v>
      </c>
      <c r="K685" t="s">
        <v>19</v>
      </c>
      <c r="L685" t="s">
        <v>20</v>
      </c>
      <c r="M685">
        <v>95</v>
      </c>
      <c r="N685" t="s">
        <v>21</v>
      </c>
      <c r="O685" t="s">
        <v>22</v>
      </c>
      <c r="P685" t="s">
        <v>23</v>
      </c>
    </row>
    <row r="686" spans="1:16" x14ac:dyDescent="0.3">
      <c r="A686" t="s">
        <v>2167</v>
      </c>
      <c r="B686" t="s">
        <v>2168</v>
      </c>
      <c r="C686" s="1">
        <v>45381</v>
      </c>
      <c r="D686" s="1">
        <v>45381</v>
      </c>
      <c r="E686">
        <v>500</v>
      </c>
      <c r="F686">
        <v>500</v>
      </c>
      <c r="G686">
        <v>0</v>
      </c>
      <c r="H686">
        <v>0</v>
      </c>
      <c r="I686" t="s">
        <v>2169</v>
      </c>
      <c r="J686" t="s">
        <v>2170</v>
      </c>
      <c r="K686" t="s">
        <v>19</v>
      </c>
      <c r="L686" t="s">
        <v>20</v>
      </c>
      <c r="M686">
        <v>95</v>
      </c>
      <c r="N686" t="s">
        <v>21</v>
      </c>
      <c r="O686" t="s">
        <v>22</v>
      </c>
      <c r="P686" t="s">
        <v>23</v>
      </c>
    </row>
    <row r="687" spans="1:16" x14ac:dyDescent="0.3">
      <c r="A687" t="s">
        <v>2171</v>
      </c>
      <c r="B687" t="s">
        <v>2172</v>
      </c>
      <c r="C687" s="1">
        <v>45381</v>
      </c>
      <c r="D687" s="1">
        <v>45381</v>
      </c>
      <c r="E687">
        <v>50</v>
      </c>
      <c r="F687">
        <v>50</v>
      </c>
      <c r="G687">
        <v>0</v>
      </c>
      <c r="H687">
        <v>0</v>
      </c>
      <c r="I687" t="s">
        <v>67</v>
      </c>
      <c r="J687" t="s">
        <v>68</v>
      </c>
      <c r="K687" t="s">
        <v>19</v>
      </c>
      <c r="L687" t="s">
        <v>20</v>
      </c>
      <c r="M687">
        <v>95</v>
      </c>
      <c r="N687" t="s">
        <v>21</v>
      </c>
      <c r="O687" t="s">
        <v>22</v>
      </c>
      <c r="P687" t="s">
        <v>23</v>
      </c>
    </row>
    <row r="688" spans="1:16" x14ac:dyDescent="0.3">
      <c r="A688" t="s">
        <v>2173</v>
      </c>
      <c r="B688" t="s">
        <v>2174</v>
      </c>
      <c r="C688" s="1">
        <v>45382</v>
      </c>
      <c r="D688" s="1">
        <v>45382</v>
      </c>
      <c r="E688">
        <v>950</v>
      </c>
      <c r="F688">
        <v>950</v>
      </c>
      <c r="G688">
        <v>0</v>
      </c>
      <c r="H688">
        <v>0</v>
      </c>
      <c r="I688" t="s">
        <v>108</v>
      </c>
      <c r="J688" t="s">
        <v>109</v>
      </c>
      <c r="K688" t="s">
        <v>19</v>
      </c>
      <c r="L688" t="s">
        <v>110</v>
      </c>
      <c r="M688">
        <v>100</v>
      </c>
      <c r="N688" t="s">
        <v>21</v>
      </c>
      <c r="O688" t="s">
        <v>22</v>
      </c>
      <c r="P688" t="s">
        <v>23</v>
      </c>
    </row>
    <row r="689" spans="1:16" x14ac:dyDescent="0.3">
      <c r="A689" t="s">
        <v>2175</v>
      </c>
      <c r="B689" t="s">
        <v>2176</v>
      </c>
      <c r="C689" s="1">
        <v>45382</v>
      </c>
      <c r="D689" s="1">
        <v>45382</v>
      </c>
      <c r="E689">
        <v>20</v>
      </c>
      <c r="F689">
        <v>20</v>
      </c>
      <c r="G689">
        <v>0</v>
      </c>
      <c r="H689">
        <v>0</v>
      </c>
      <c r="I689" t="s">
        <v>2177</v>
      </c>
      <c r="J689" t="s">
        <v>2178</v>
      </c>
      <c r="K689" t="s">
        <v>19</v>
      </c>
      <c r="L689" t="s">
        <v>20</v>
      </c>
      <c r="M689">
        <v>95</v>
      </c>
      <c r="N689" t="s">
        <v>21</v>
      </c>
      <c r="O689" t="s">
        <v>22</v>
      </c>
      <c r="P689" t="s">
        <v>23</v>
      </c>
    </row>
    <row r="690" spans="1:16" x14ac:dyDescent="0.3">
      <c r="A690" t="s">
        <v>2179</v>
      </c>
      <c r="B690" t="s">
        <v>2180</v>
      </c>
      <c r="C690" s="1">
        <v>45382</v>
      </c>
      <c r="D690" s="1">
        <v>45382</v>
      </c>
      <c r="E690">
        <v>1</v>
      </c>
      <c r="F690">
        <v>1</v>
      </c>
      <c r="G690">
        <v>0</v>
      </c>
      <c r="H690">
        <v>0</v>
      </c>
      <c r="I690" t="s">
        <v>96</v>
      </c>
      <c r="J690" t="s">
        <v>97</v>
      </c>
      <c r="K690" t="s">
        <v>19</v>
      </c>
      <c r="L690" t="s">
        <v>20</v>
      </c>
      <c r="M690">
        <v>95</v>
      </c>
      <c r="N690" t="s">
        <v>21</v>
      </c>
      <c r="O690" t="s">
        <v>22</v>
      </c>
      <c r="P690" t="s">
        <v>23</v>
      </c>
    </row>
    <row r="691" spans="1:16" x14ac:dyDescent="0.3">
      <c r="A691" t="s">
        <v>2181</v>
      </c>
      <c r="B691" t="s">
        <v>2182</v>
      </c>
      <c r="C691" s="1">
        <v>45382</v>
      </c>
      <c r="D691" s="1">
        <v>45382</v>
      </c>
      <c r="E691">
        <v>500</v>
      </c>
      <c r="F691">
        <v>500</v>
      </c>
      <c r="G691">
        <v>0</v>
      </c>
      <c r="H691">
        <v>0</v>
      </c>
      <c r="I691" t="s">
        <v>96</v>
      </c>
      <c r="J691" t="s">
        <v>97</v>
      </c>
      <c r="K691" t="s">
        <v>19</v>
      </c>
      <c r="L691" t="s">
        <v>20</v>
      </c>
      <c r="M691">
        <v>95</v>
      </c>
      <c r="N691" t="s">
        <v>21</v>
      </c>
      <c r="O691" t="s">
        <v>22</v>
      </c>
      <c r="P691" t="s">
        <v>23</v>
      </c>
    </row>
    <row r="692" spans="1:16" x14ac:dyDescent="0.3">
      <c r="A692" t="s">
        <v>2183</v>
      </c>
      <c r="B692" t="s">
        <v>2184</v>
      </c>
      <c r="C692" s="1">
        <v>45382</v>
      </c>
      <c r="D692" s="1">
        <v>45382</v>
      </c>
      <c r="E692">
        <v>130</v>
      </c>
      <c r="F692">
        <v>130</v>
      </c>
      <c r="G692">
        <v>0</v>
      </c>
      <c r="H692">
        <v>0</v>
      </c>
      <c r="I692" t="s">
        <v>358</v>
      </c>
      <c r="J692" t="s">
        <v>359</v>
      </c>
      <c r="K692" t="s">
        <v>19</v>
      </c>
      <c r="L692" t="s">
        <v>20</v>
      </c>
      <c r="M692">
        <v>95</v>
      </c>
      <c r="N692" t="s">
        <v>21</v>
      </c>
      <c r="O692" t="s">
        <v>22</v>
      </c>
      <c r="P692" t="s">
        <v>23</v>
      </c>
    </row>
    <row r="693" spans="1:16" x14ac:dyDescent="0.3">
      <c r="A693" t="s">
        <v>2185</v>
      </c>
      <c r="B693" t="s">
        <v>2186</v>
      </c>
      <c r="C693" s="1">
        <v>45382</v>
      </c>
      <c r="D693" s="1">
        <v>45382</v>
      </c>
      <c r="E693">
        <v>160</v>
      </c>
      <c r="F693">
        <v>160</v>
      </c>
      <c r="G693">
        <v>0</v>
      </c>
      <c r="H693">
        <v>0</v>
      </c>
      <c r="I693" t="s">
        <v>2187</v>
      </c>
      <c r="J693" t="s">
        <v>2188</v>
      </c>
      <c r="K693" t="s">
        <v>19</v>
      </c>
      <c r="L693" t="s">
        <v>20</v>
      </c>
      <c r="M693">
        <v>95</v>
      </c>
      <c r="N693" t="s">
        <v>21</v>
      </c>
      <c r="O693" t="s">
        <v>22</v>
      </c>
      <c r="P693" t="s">
        <v>23</v>
      </c>
    </row>
    <row r="694" spans="1:16" x14ac:dyDescent="0.3">
      <c r="A694" t="s">
        <v>2189</v>
      </c>
      <c r="B694" t="s">
        <v>2190</v>
      </c>
      <c r="C694" s="1">
        <v>45383</v>
      </c>
      <c r="D694" s="1">
        <v>45383</v>
      </c>
      <c r="E694">
        <v>10</v>
      </c>
      <c r="F694">
        <v>10</v>
      </c>
      <c r="G694">
        <v>0</v>
      </c>
      <c r="H694">
        <v>0</v>
      </c>
      <c r="I694" t="s">
        <v>304</v>
      </c>
      <c r="J694" t="s">
        <v>305</v>
      </c>
      <c r="K694" t="s">
        <v>91</v>
      </c>
      <c r="L694" t="s">
        <v>92</v>
      </c>
      <c r="M694">
        <v>85</v>
      </c>
      <c r="N694" t="s">
        <v>93</v>
      </c>
      <c r="O694" t="s">
        <v>22</v>
      </c>
      <c r="P694" t="s">
        <v>23</v>
      </c>
    </row>
    <row r="695" spans="1:16" x14ac:dyDescent="0.3">
      <c r="A695" t="s">
        <v>2191</v>
      </c>
      <c r="B695" t="s">
        <v>2192</v>
      </c>
      <c r="C695" s="1">
        <v>45383</v>
      </c>
      <c r="D695" s="1">
        <v>45383</v>
      </c>
      <c r="E695">
        <v>560</v>
      </c>
      <c r="F695">
        <v>560</v>
      </c>
      <c r="G695">
        <v>0</v>
      </c>
      <c r="H695">
        <v>0</v>
      </c>
      <c r="I695" t="s">
        <v>2193</v>
      </c>
      <c r="J695" t="s">
        <v>2194</v>
      </c>
      <c r="K695" t="s">
        <v>19</v>
      </c>
      <c r="L695" t="s">
        <v>20</v>
      </c>
      <c r="M695">
        <v>95</v>
      </c>
      <c r="N695" t="s">
        <v>21</v>
      </c>
      <c r="O695" t="s">
        <v>22</v>
      </c>
      <c r="P695" t="s">
        <v>23</v>
      </c>
    </row>
    <row r="696" spans="1:16" x14ac:dyDescent="0.3">
      <c r="A696" t="s">
        <v>2195</v>
      </c>
      <c r="B696" t="s">
        <v>2196</v>
      </c>
      <c r="C696" s="1">
        <v>45383</v>
      </c>
      <c r="D696" s="1">
        <v>45383</v>
      </c>
      <c r="E696">
        <v>50</v>
      </c>
      <c r="F696">
        <v>50</v>
      </c>
      <c r="G696">
        <v>0</v>
      </c>
      <c r="H696">
        <v>0</v>
      </c>
      <c r="I696" t="s">
        <v>358</v>
      </c>
      <c r="J696" t="s">
        <v>359</v>
      </c>
      <c r="K696" t="s">
        <v>19</v>
      </c>
      <c r="L696" t="s">
        <v>20</v>
      </c>
      <c r="M696">
        <v>95</v>
      </c>
      <c r="N696" t="s">
        <v>21</v>
      </c>
      <c r="O696" t="s">
        <v>22</v>
      </c>
      <c r="P696" t="s">
        <v>23</v>
      </c>
    </row>
    <row r="697" spans="1:16" x14ac:dyDescent="0.3">
      <c r="A697" t="s">
        <v>2197</v>
      </c>
      <c r="B697" t="s">
        <v>2198</v>
      </c>
      <c r="C697" s="1">
        <v>45383</v>
      </c>
      <c r="D697" s="1">
        <v>45383</v>
      </c>
      <c r="E697">
        <v>10</v>
      </c>
      <c r="F697">
        <v>10</v>
      </c>
      <c r="G697">
        <v>0</v>
      </c>
      <c r="H697">
        <v>0</v>
      </c>
      <c r="I697" t="s">
        <v>2199</v>
      </c>
      <c r="J697" t="s">
        <v>2200</v>
      </c>
      <c r="K697" t="s">
        <v>19</v>
      </c>
      <c r="L697" t="s">
        <v>20</v>
      </c>
      <c r="M697">
        <v>95</v>
      </c>
      <c r="N697" t="s">
        <v>21</v>
      </c>
      <c r="O697" t="s">
        <v>22</v>
      </c>
      <c r="P697" t="s">
        <v>23</v>
      </c>
    </row>
    <row r="698" spans="1:16" x14ac:dyDescent="0.3">
      <c r="A698" t="s">
        <v>2201</v>
      </c>
      <c r="B698" t="s">
        <v>2202</v>
      </c>
      <c r="C698" s="1">
        <v>45383</v>
      </c>
      <c r="D698" s="1">
        <v>45383</v>
      </c>
      <c r="E698">
        <v>500</v>
      </c>
      <c r="F698">
        <v>500</v>
      </c>
      <c r="G698">
        <v>0</v>
      </c>
      <c r="H698">
        <v>0</v>
      </c>
      <c r="I698" t="s">
        <v>2203</v>
      </c>
      <c r="J698" t="s">
        <v>2204</v>
      </c>
      <c r="K698" t="s">
        <v>91</v>
      </c>
      <c r="L698" t="s">
        <v>92</v>
      </c>
      <c r="M698">
        <v>85</v>
      </c>
      <c r="N698" t="s">
        <v>93</v>
      </c>
      <c r="O698" t="s">
        <v>22</v>
      </c>
      <c r="P698" t="s">
        <v>23</v>
      </c>
    </row>
    <row r="699" spans="1:16" x14ac:dyDescent="0.3">
      <c r="A699" t="s">
        <v>2205</v>
      </c>
      <c r="B699" t="s">
        <v>2206</v>
      </c>
      <c r="C699" s="1">
        <v>45383</v>
      </c>
      <c r="D699" s="1">
        <v>45383</v>
      </c>
      <c r="E699">
        <v>500</v>
      </c>
      <c r="F699">
        <v>500</v>
      </c>
      <c r="G699">
        <v>0</v>
      </c>
      <c r="H699">
        <v>0</v>
      </c>
      <c r="I699" t="s">
        <v>2207</v>
      </c>
      <c r="J699" t="s">
        <v>2208</v>
      </c>
      <c r="K699" t="s">
        <v>19</v>
      </c>
      <c r="L699" t="s">
        <v>20</v>
      </c>
      <c r="M699">
        <v>95</v>
      </c>
      <c r="N699" t="s">
        <v>21</v>
      </c>
      <c r="O699" t="s">
        <v>22</v>
      </c>
      <c r="P699" t="s">
        <v>23</v>
      </c>
    </row>
    <row r="700" spans="1:16" x14ac:dyDescent="0.3">
      <c r="A700" t="s">
        <v>2209</v>
      </c>
      <c r="B700" t="s">
        <v>2210</v>
      </c>
      <c r="C700" s="1">
        <v>45383</v>
      </c>
      <c r="D700" s="1">
        <v>45383</v>
      </c>
      <c r="E700">
        <v>500</v>
      </c>
      <c r="F700">
        <v>500</v>
      </c>
      <c r="G700">
        <v>0</v>
      </c>
      <c r="H700">
        <v>0</v>
      </c>
      <c r="I700" t="s">
        <v>2211</v>
      </c>
      <c r="J700" t="s">
        <v>2212</v>
      </c>
      <c r="K700" t="s">
        <v>19</v>
      </c>
      <c r="L700" t="s">
        <v>20</v>
      </c>
      <c r="M700">
        <v>95</v>
      </c>
      <c r="N700" t="s">
        <v>21</v>
      </c>
      <c r="O700" t="s">
        <v>22</v>
      </c>
      <c r="P700" t="s">
        <v>23</v>
      </c>
    </row>
    <row r="701" spans="1:16" x14ac:dyDescent="0.3">
      <c r="A701" t="s">
        <v>2213</v>
      </c>
      <c r="B701" t="s">
        <v>2214</v>
      </c>
      <c r="C701" s="1">
        <v>45383</v>
      </c>
      <c r="D701" s="1">
        <v>45383</v>
      </c>
      <c r="E701">
        <v>100</v>
      </c>
      <c r="F701">
        <v>100</v>
      </c>
      <c r="G701">
        <v>0</v>
      </c>
      <c r="H701">
        <v>0</v>
      </c>
      <c r="I701" t="s">
        <v>89</v>
      </c>
      <c r="J701" t="s">
        <v>90</v>
      </c>
      <c r="K701" t="s">
        <v>19</v>
      </c>
      <c r="L701" t="s">
        <v>20</v>
      </c>
      <c r="M701">
        <v>95</v>
      </c>
      <c r="N701" t="s">
        <v>21</v>
      </c>
      <c r="O701" t="s">
        <v>22</v>
      </c>
      <c r="P701" t="s">
        <v>23</v>
      </c>
    </row>
    <row r="702" spans="1:16" x14ac:dyDescent="0.3">
      <c r="A702" t="s">
        <v>2215</v>
      </c>
      <c r="B702" t="s">
        <v>2216</v>
      </c>
      <c r="C702" s="1">
        <v>45384</v>
      </c>
      <c r="D702" s="1">
        <v>45384</v>
      </c>
      <c r="E702">
        <v>500</v>
      </c>
      <c r="F702">
        <v>500</v>
      </c>
      <c r="G702">
        <v>0</v>
      </c>
      <c r="H702">
        <v>0</v>
      </c>
      <c r="I702" t="s">
        <v>2217</v>
      </c>
      <c r="J702" t="s">
        <v>2218</v>
      </c>
      <c r="K702" t="s">
        <v>19</v>
      </c>
      <c r="L702" t="s">
        <v>20</v>
      </c>
      <c r="M702">
        <v>95</v>
      </c>
      <c r="N702" t="s">
        <v>21</v>
      </c>
      <c r="O702" t="s">
        <v>22</v>
      </c>
      <c r="P702" t="s">
        <v>23</v>
      </c>
    </row>
    <row r="703" spans="1:16" x14ac:dyDescent="0.3">
      <c r="A703" t="s">
        <v>2219</v>
      </c>
      <c r="B703" t="s">
        <v>2220</v>
      </c>
      <c r="C703" s="1">
        <v>45384</v>
      </c>
      <c r="D703" s="1">
        <v>45384</v>
      </c>
      <c r="E703">
        <v>240</v>
      </c>
      <c r="F703">
        <v>240</v>
      </c>
      <c r="G703">
        <v>0</v>
      </c>
      <c r="H703">
        <v>0</v>
      </c>
      <c r="I703" t="s">
        <v>2221</v>
      </c>
      <c r="J703" t="s">
        <v>2222</v>
      </c>
      <c r="K703" t="s">
        <v>19</v>
      </c>
      <c r="L703" t="s">
        <v>20</v>
      </c>
      <c r="M703">
        <v>95</v>
      </c>
      <c r="N703" t="s">
        <v>21</v>
      </c>
      <c r="O703" t="s">
        <v>22</v>
      </c>
      <c r="P703" t="s">
        <v>23</v>
      </c>
    </row>
    <row r="704" spans="1:16" x14ac:dyDescent="0.3">
      <c r="A704" t="s">
        <v>2223</v>
      </c>
      <c r="B704" t="s">
        <v>2224</v>
      </c>
      <c r="C704" s="1">
        <v>45385</v>
      </c>
      <c r="D704" s="1">
        <v>45385</v>
      </c>
      <c r="E704">
        <v>30</v>
      </c>
      <c r="F704">
        <v>30</v>
      </c>
      <c r="G704">
        <v>0</v>
      </c>
      <c r="H704">
        <v>0</v>
      </c>
      <c r="I704" t="s">
        <v>108</v>
      </c>
      <c r="J704" t="s">
        <v>109</v>
      </c>
      <c r="K704" t="s">
        <v>19</v>
      </c>
      <c r="L704" t="s">
        <v>110</v>
      </c>
      <c r="M704">
        <v>100</v>
      </c>
      <c r="N704" t="s">
        <v>21</v>
      </c>
      <c r="O704" t="s">
        <v>22</v>
      </c>
      <c r="P704" t="s">
        <v>23</v>
      </c>
    </row>
    <row r="705" spans="1:16" x14ac:dyDescent="0.3">
      <c r="A705" t="s">
        <v>2225</v>
      </c>
      <c r="B705" t="s">
        <v>2226</v>
      </c>
      <c r="C705" s="1">
        <v>45386</v>
      </c>
      <c r="D705" s="1">
        <v>45386</v>
      </c>
      <c r="E705">
        <v>200</v>
      </c>
      <c r="F705">
        <v>200</v>
      </c>
      <c r="G705">
        <v>0</v>
      </c>
      <c r="H705">
        <v>0</v>
      </c>
      <c r="I705" t="s">
        <v>2227</v>
      </c>
      <c r="J705" t="s">
        <v>2228</v>
      </c>
      <c r="K705" t="s">
        <v>19</v>
      </c>
      <c r="L705" t="s">
        <v>20</v>
      </c>
      <c r="M705">
        <v>95</v>
      </c>
      <c r="N705" t="s">
        <v>21</v>
      </c>
      <c r="O705" t="s">
        <v>22</v>
      </c>
      <c r="P705" t="s">
        <v>23</v>
      </c>
    </row>
    <row r="706" spans="1:16" x14ac:dyDescent="0.3">
      <c r="A706" t="s">
        <v>2229</v>
      </c>
      <c r="B706" t="s">
        <v>2230</v>
      </c>
      <c r="C706" s="1">
        <v>45386</v>
      </c>
      <c r="D706" s="1">
        <v>45386</v>
      </c>
      <c r="E706">
        <v>500</v>
      </c>
      <c r="F706">
        <v>500</v>
      </c>
      <c r="G706">
        <v>0</v>
      </c>
      <c r="H706">
        <v>0</v>
      </c>
      <c r="I706" t="s">
        <v>2231</v>
      </c>
      <c r="J706" t="s">
        <v>2232</v>
      </c>
      <c r="K706" t="s">
        <v>19</v>
      </c>
      <c r="L706" t="s">
        <v>20</v>
      </c>
      <c r="M706">
        <v>95</v>
      </c>
      <c r="N706" t="s">
        <v>21</v>
      </c>
      <c r="O706" t="s">
        <v>22</v>
      </c>
      <c r="P706" t="s">
        <v>23</v>
      </c>
    </row>
    <row r="707" spans="1:16" x14ac:dyDescent="0.3">
      <c r="A707" t="s">
        <v>2233</v>
      </c>
      <c r="B707" t="s">
        <v>2234</v>
      </c>
      <c r="C707" s="1">
        <v>45386</v>
      </c>
      <c r="D707" s="1">
        <v>45386</v>
      </c>
      <c r="E707">
        <v>100</v>
      </c>
      <c r="F707">
        <v>100</v>
      </c>
      <c r="G707">
        <v>0</v>
      </c>
      <c r="H707">
        <v>0</v>
      </c>
      <c r="I707" t="s">
        <v>1091</v>
      </c>
      <c r="J707" t="s">
        <v>1092</v>
      </c>
      <c r="K707" t="s">
        <v>19</v>
      </c>
      <c r="L707" t="s">
        <v>20</v>
      </c>
      <c r="M707">
        <v>95</v>
      </c>
      <c r="N707" t="s">
        <v>21</v>
      </c>
      <c r="O707" t="s">
        <v>22</v>
      </c>
      <c r="P707" t="s">
        <v>23</v>
      </c>
    </row>
    <row r="708" spans="1:16" x14ac:dyDescent="0.3">
      <c r="A708" t="s">
        <v>2235</v>
      </c>
      <c r="B708" t="s">
        <v>2236</v>
      </c>
      <c r="C708" s="1">
        <v>45387</v>
      </c>
      <c r="D708" s="1">
        <v>45387</v>
      </c>
      <c r="E708">
        <v>120</v>
      </c>
      <c r="F708">
        <v>120</v>
      </c>
      <c r="G708">
        <v>0</v>
      </c>
      <c r="H708">
        <v>0</v>
      </c>
      <c r="I708" t="s">
        <v>96</v>
      </c>
      <c r="J708" t="s">
        <v>97</v>
      </c>
      <c r="K708" t="s">
        <v>19</v>
      </c>
      <c r="L708" t="s">
        <v>20</v>
      </c>
      <c r="M708">
        <v>95</v>
      </c>
      <c r="N708" t="s">
        <v>21</v>
      </c>
      <c r="O708" t="s">
        <v>22</v>
      </c>
      <c r="P708" t="s">
        <v>23</v>
      </c>
    </row>
    <row r="709" spans="1:16" x14ac:dyDescent="0.3">
      <c r="A709" t="s">
        <v>2237</v>
      </c>
      <c r="B709" t="s">
        <v>2238</v>
      </c>
      <c r="C709" s="1">
        <v>45387</v>
      </c>
      <c r="D709" s="1">
        <v>45437</v>
      </c>
      <c r="E709">
        <v>50</v>
      </c>
      <c r="F709">
        <v>50</v>
      </c>
      <c r="G709">
        <v>0</v>
      </c>
      <c r="H709">
        <v>50</v>
      </c>
      <c r="I709" t="s">
        <v>81</v>
      </c>
      <c r="J709" t="s">
        <v>82</v>
      </c>
      <c r="K709" t="s">
        <v>91</v>
      </c>
      <c r="L709" t="s">
        <v>2239</v>
      </c>
      <c r="M709">
        <v>60</v>
      </c>
      <c r="N709" t="s">
        <v>164</v>
      </c>
      <c r="O709" t="s">
        <v>22</v>
      </c>
      <c r="P709" t="s">
        <v>23</v>
      </c>
    </row>
    <row r="710" spans="1:16" x14ac:dyDescent="0.3">
      <c r="A710" t="s">
        <v>2240</v>
      </c>
      <c r="B710" t="s">
        <v>2241</v>
      </c>
      <c r="C710" s="1">
        <v>45387</v>
      </c>
      <c r="D710" s="1">
        <v>45387</v>
      </c>
      <c r="E710">
        <v>10</v>
      </c>
      <c r="F710">
        <v>10</v>
      </c>
      <c r="G710">
        <v>0</v>
      </c>
      <c r="H710">
        <v>0</v>
      </c>
      <c r="I710" t="s">
        <v>2242</v>
      </c>
      <c r="J710" t="s">
        <v>2243</v>
      </c>
      <c r="K710" t="s">
        <v>19</v>
      </c>
      <c r="L710" t="s">
        <v>20</v>
      </c>
      <c r="M710">
        <v>95</v>
      </c>
      <c r="N710" t="s">
        <v>21</v>
      </c>
      <c r="O710" t="s">
        <v>22</v>
      </c>
      <c r="P710" t="s">
        <v>23</v>
      </c>
    </row>
    <row r="711" spans="1:16" x14ac:dyDescent="0.3">
      <c r="A711" t="s">
        <v>2244</v>
      </c>
      <c r="B711" t="s">
        <v>2245</v>
      </c>
      <c r="C711" s="1">
        <v>45387</v>
      </c>
      <c r="D711" s="1">
        <v>45388</v>
      </c>
      <c r="E711">
        <v>130</v>
      </c>
      <c r="F711">
        <v>130</v>
      </c>
      <c r="G711">
        <v>0</v>
      </c>
      <c r="H711">
        <v>1</v>
      </c>
      <c r="I711" t="s">
        <v>358</v>
      </c>
      <c r="J711" t="s">
        <v>359</v>
      </c>
      <c r="K711" t="s">
        <v>235</v>
      </c>
      <c r="L711" t="s">
        <v>265</v>
      </c>
      <c r="M711">
        <v>80</v>
      </c>
      <c r="N711" t="s">
        <v>93</v>
      </c>
      <c r="O711" t="s">
        <v>22</v>
      </c>
      <c r="P711" t="s">
        <v>23</v>
      </c>
    </row>
    <row r="712" spans="1:16" x14ac:dyDescent="0.3">
      <c r="A712" t="s">
        <v>2246</v>
      </c>
      <c r="B712" t="s">
        <v>2247</v>
      </c>
      <c r="C712" s="1">
        <v>45388</v>
      </c>
      <c r="D712" s="1">
        <v>45388</v>
      </c>
      <c r="E712">
        <v>280</v>
      </c>
      <c r="F712">
        <v>280</v>
      </c>
      <c r="G712">
        <v>0</v>
      </c>
      <c r="H712">
        <v>0</v>
      </c>
      <c r="I712" t="s">
        <v>108</v>
      </c>
      <c r="J712" t="s">
        <v>109</v>
      </c>
      <c r="K712" t="s">
        <v>19</v>
      </c>
      <c r="L712" t="s">
        <v>110</v>
      </c>
      <c r="M712">
        <v>100</v>
      </c>
      <c r="N712" t="s">
        <v>21</v>
      </c>
      <c r="O712" t="s">
        <v>22</v>
      </c>
      <c r="P712" t="s">
        <v>23</v>
      </c>
    </row>
    <row r="713" spans="1:16" x14ac:dyDescent="0.3">
      <c r="A713" t="s">
        <v>2248</v>
      </c>
      <c r="B713" t="s">
        <v>2249</v>
      </c>
      <c r="C713" s="1">
        <v>45388</v>
      </c>
      <c r="D713" s="1">
        <v>45388</v>
      </c>
      <c r="E713">
        <v>10</v>
      </c>
      <c r="F713">
        <v>10</v>
      </c>
      <c r="G713">
        <v>0</v>
      </c>
      <c r="H713">
        <v>0</v>
      </c>
      <c r="I713" t="s">
        <v>2250</v>
      </c>
      <c r="J713" t="s">
        <v>2251</v>
      </c>
      <c r="K713" t="s">
        <v>91</v>
      </c>
      <c r="L713" t="s">
        <v>92</v>
      </c>
      <c r="M713">
        <v>85</v>
      </c>
      <c r="N713" t="s">
        <v>93</v>
      </c>
      <c r="O713" t="s">
        <v>22</v>
      </c>
      <c r="P713" t="s">
        <v>23</v>
      </c>
    </row>
    <row r="714" spans="1:16" x14ac:dyDescent="0.3">
      <c r="A714" t="s">
        <v>2252</v>
      </c>
      <c r="B714" t="s">
        <v>2253</v>
      </c>
      <c r="C714" s="1">
        <v>45388</v>
      </c>
      <c r="D714" s="1">
        <v>45388</v>
      </c>
      <c r="E714">
        <v>10</v>
      </c>
      <c r="F714">
        <v>10</v>
      </c>
      <c r="G714">
        <v>0</v>
      </c>
      <c r="H714">
        <v>0</v>
      </c>
      <c r="I714" t="s">
        <v>2254</v>
      </c>
      <c r="J714" t="s">
        <v>2255</v>
      </c>
      <c r="K714" t="s">
        <v>19</v>
      </c>
      <c r="L714" t="s">
        <v>20</v>
      </c>
      <c r="M714">
        <v>95</v>
      </c>
      <c r="N714" t="s">
        <v>21</v>
      </c>
      <c r="O714" t="s">
        <v>22</v>
      </c>
      <c r="P714" t="s">
        <v>23</v>
      </c>
    </row>
    <row r="715" spans="1:16" x14ac:dyDescent="0.3">
      <c r="A715" t="s">
        <v>2256</v>
      </c>
      <c r="B715" t="s">
        <v>2257</v>
      </c>
      <c r="C715" s="1">
        <v>45388</v>
      </c>
      <c r="D715" s="1">
        <v>45388</v>
      </c>
      <c r="E715">
        <v>50</v>
      </c>
      <c r="F715">
        <v>50</v>
      </c>
      <c r="G715">
        <v>0</v>
      </c>
      <c r="H715">
        <v>0</v>
      </c>
      <c r="I715" t="s">
        <v>2258</v>
      </c>
      <c r="J715" t="s">
        <v>2259</v>
      </c>
      <c r="K715" t="s">
        <v>19</v>
      </c>
      <c r="L715" t="s">
        <v>20</v>
      </c>
      <c r="M715">
        <v>95</v>
      </c>
      <c r="N715" t="s">
        <v>21</v>
      </c>
      <c r="O715" t="s">
        <v>22</v>
      </c>
      <c r="P715" t="s">
        <v>23</v>
      </c>
    </row>
    <row r="716" spans="1:16" x14ac:dyDescent="0.3">
      <c r="A716" t="s">
        <v>2260</v>
      </c>
      <c r="B716" t="s">
        <v>2261</v>
      </c>
      <c r="C716" s="1">
        <v>45388</v>
      </c>
      <c r="D716" s="1">
        <v>45389</v>
      </c>
      <c r="E716">
        <v>130</v>
      </c>
      <c r="F716">
        <v>130</v>
      </c>
      <c r="G716">
        <v>0</v>
      </c>
      <c r="H716">
        <v>1</v>
      </c>
      <c r="I716" t="s">
        <v>358</v>
      </c>
      <c r="J716" t="s">
        <v>359</v>
      </c>
      <c r="K716" t="s">
        <v>235</v>
      </c>
      <c r="L716" t="s">
        <v>265</v>
      </c>
      <c r="M716">
        <v>80</v>
      </c>
      <c r="N716" t="s">
        <v>93</v>
      </c>
      <c r="O716" t="s">
        <v>22</v>
      </c>
      <c r="P716" t="s">
        <v>23</v>
      </c>
    </row>
    <row r="717" spans="1:16" x14ac:dyDescent="0.3">
      <c r="A717" t="s">
        <v>2262</v>
      </c>
      <c r="B717" t="s">
        <v>2263</v>
      </c>
      <c r="C717" s="1">
        <v>45388</v>
      </c>
      <c r="D717" s="1">
        <v>45388</v>
      </c>
      <c r="E717">
        <v>160</v>
      </c>
      <c r="F717">
        <v>160</v>
      </c>
      <c r="G717">
        <v>0</v>
      </c>
      <c r="H717">
        <v>0</v>
      </c>
      <c r="I717" t="s">
        <v>358</v>
      </c>
      <c r="J717" t="s">
        <v>359</v>
      </c>
      <c r="K717" t="s">
        <v>19</v>
      </c>
      <c r="L717" t="s">
        <v>20</v>
      </c>
      <c r="M717">
        <v>95</v>
      </c>
      <c r="N717" t="s">
        <v>21</v>
      </c>
      <c r="O717" t="s">
        <v>22</v>
      </c>
      <c r="P717" t="s">
        <v>23</v>
      </c>
    </row>
    <row r="718" spans="1:16" x14ac:dyDescent="0.3">
      <c r="A718" t="s">
        <v>2264</v>
      </c>
      <c r="B718" t="s">
        <v>2265</v>
      </c>
      <c r="C718" s="1">
        <v>45389</v>
      </c>
      <c r="D718" s="1">
        <v>45389</v>
      </c>
      <c r="E718">
        <v>10</v>
      </c>
      <c r="F718">
        <v>10</v>
      </c>
      <c r="G718">
        <v>0</v>
      </c>
      <c r="H718">
        <v>0</v>
      </c>
      <c r="I718" t="s">
        <v>81</v>
      </c>
      <c r="J718" t="s">
        <v>82</v>
      </c>
      <c r="K718" t="s">
        <v>19</v>
      </c>
      <c r="L718" t="s">
        <v>20</v>
      </c>
      <c r="M718">
        <v>95</v>
      </c>
      <c r="N718" t="s">
        <v>21</v>
      </c>
      <c r="O718" t="s">
        <v>22</v>
      </c>
      <c r="P718" t="s">
        <v>23</v>
      </c>
    </row>
    <row r="719" spans="1:16" x14ac:dyDescent="0.3">
      <c r="A719" t="s">
        <v>2266</v>
      </c>
      <c r="B719" t="s">
        <v>2267</v>
      </c>
      <c r="C719" s="1">
        <v>45389</v>
      </c>
      <c r="D719" s="1">
        <v>45389</v>
      </c>
      <c r="E719">
        <v>1350</v>
      </c>
      <c r="F719">
        <v>1350</v>
      </c>
      <c r="G719">
        <v>0</v>
      </c>
      <c r="H719">
        <v>0</v>
      </c>
      <c r="I719" t="s">
        <v>108</v>
      </c>
      <c r="J719" t="s">
        <v>109</v>
      </c>
      <c r="K719" t="s">
        <v>19</v>
      </c>
      <c r="L719" t="s">
        <v>110</v>
      </c>
      <c r="M719">
        <v>100</v>
      </c>
      <c r="N719" t="s">
        <v>21</v>
      </c>
      <c r="O719" t="s">
        <v>22</v>
      </c>
      <c r="P719" t="s">
        <v>23</v>
      </c>
    </row>
    <row r="720" spans="1:16" x14ac:dyDescent="0.3">
      <c r="A720" t="s">
        <v>2268</v>
      </c>
      <c r="B720" t="s">
        <v>2269</v>
      </c>
      <c r="C720" s="1">
        <v>45389</v>
      </c>
      <c r="D720" s="1">
        <v>45389</v>
      </c>
      <c r="E720">
        <v>1000</v>
      </c>
      <c r="F720">
        <v>1000</v>
      </c>
      <c r="G720">
        <v>0</v>
      </c>
      <c r="H720">
        <v>0</v>
      </c>
      <c r="I720" t="s">
        <v>2270</v>
      </c>
      <c r="J720" t="s">
        <v>2271</v>
      </c>
      <c r="K720" t="s">
        <v>19</v>
      </c>
      <c r="L720" t="s">
        <v>20</v>
      </c>
      <c r="M720">
        <v>95</v>
      </c>
      <c r="N720" t="s">
        <v>21</v>
      </c>
      <c r="O720" t="s">
        <v>22</v>
      </c>
      <c r="P720" t="s">
        <v>23</v>
      </c>
    </row>
    <row r="721" spans="1:16" x14ac:dyDescent="0.3">
      <c r="A721" t="s">
        <v>2272</v>
      </c>
      <c r="B721" t="s">
        <v>2273</v>
      </c>
      <c r="C721" s="1">
        <v>45389</v>
      </c>
      <c r="D721" s="1">
        <v>45389</v>
      </c>
      <c r="E721">
        <v>500</v>
      </c>
      <c r="F721">
        <v>500</v>
      </c>
      <c r="G721">
        <v>0</v>
      </c>
      <c r="H721">
        <v>0</v>
      </c>
      <c r="I721" t="s">
        <v>2274</v>
      </c>
      <c r="J721" t="s">
        <v>2275</v>
      </c>
      <c r="K721" t="s">
        <v>19</v>
      </c>
      <c r="L721" t="s">
        <v>20</v>
      </c>
      <c r="M721">
        <v>95</v>
      </c>
      <c r="N721" t="s">
        <v>21</v>
      </c>
      <c r="O721" t="s">
        <v>22</v>
      </c>
      <c r="P721" t="s">
        <v>23</v>
      </c>
    </row>
    <row r="722" spans="1:16" x14ac:dyDescent="0.3">
      <c r="A722" t="s">
        <v>2276</v>
      </c>
      <c r="B722" t="s">
        <v>2277</v>
      </c>
      <c r="C722" s="1">
        <v>45389</v>
      </c>
      <c r="D722" s="1">
        <v>45389</v>
      </c>
      <c r="E722">
        <v>500</v>
      </c>
      <c r="F722">
        <v>500</v>
      </c>
      <c r="G722">
        <v>0</v>
      </c>
      <c r="H722">
        <v>0</v>
      </c>
      <c r="I722" t="s">
        <v>2278</v>
      </c>
      <c r="J722" t="s">
        <v>2279</v>
      </c>
      <c r="K722" t="s">
        <v>19</v>
      </c>
      <c r="L722" t="s">
        <v>20</v>
      </c>
      <c r="M722">
        <v>95</v>
      </c>
      <c r="N722" t="s">
        <v>21</v>
      </c>
      <c r="O722" t="s">
        <v>22</v>
      </c>
      <c r="P722" t="s">
        <v>23</v>
      </c>
    </row>
    <row r="723" spans="1:16" x14ac:dyDescent="0.3">
      <c r="A723" t="s">
        <v>2280</v>
      </c>
      <c r="B723" t="s">
        <v>2281</v>
      </c>
      <c r="C723" s="1">
        <v>45389</v>
      </c>
      <c r="D723" s="1">
        <v>45391</v>
      </c>
      <c r="E723">
        <v>130</v>
      </c>
      <c r="F723">
        <v>130</v>
      </c>
      <c r="G723">
        <v>0</v>
      </c>
      <c r="H723">
        <v>2</v>
      </c>
      <c r="I723" t="s">
        <v>358</v>
      </c>
      <c r="J723" t="s">
        <v>359</v>
      </c>
      <c r="K723" t="s">
        <v>235</v>
      </c>
      <c r="L723" t="s">
        <v>236</v>
      </c>
      <c r="M723">
        <v>75</v>
      </c>
      <c r="N723" t="s">
        <v>93</v>
      </c>
      <c r="O723" t="s">
        <v>22</v>
      </c>
      <c r="P723" t="s">
        <v>23</v>
      </c>
    </row>
    <row r="724" spans="1:16" x14ac:dyDescent="0.3">
      <c r="A724" t="s">
        <v>2282</v>
      </c>
      <c r="B724" t="s">
        <v>2283</v>
      </c>
      <c r="C724" s="1">
        <v>45389</v>
      </c>
      <c r="D724" s="1">
        <v>45389</v>
      </c>
      <c r="E724">
        <v>240</v>
      </c>
      <c r="F724">
        <v>240</v>
      </c>
      <c r="G724">
        <v>0</v>
      </c>
      <c r="H724">
        <v>0</v>
      </c>
      <c r="I724" t="s">
        <v>2284</v>
      </c>
      <c r="J724" t="s">
        <v>2285</v>
      </c>
      <c r="K724" t="s">
        <v>19</v>
      </c>
      <c r="L724" t="s">
        <v>20</v>
      </c>
      <c r="M724">
        <v>95</v>
      </c>
      <c r="N724" t="s">
        <v>21</v>
      </c>
      <c r="O724" t="s">
        <v>22</v>
      </c>
      <c r="P724" t="s">
        <v>23</v>
      </c>
    </row>
    <row r="725" spans="1:16" x14ac:dyDescent="0.3">
      <c r="A725" t="s">
        <v>2286</v>
      </c>
      <c r="B725" t="s">
        <v>2287</v>
      </c>
      <c r="C725" s="1">
        <v>45390</v>
      </c>
      <c r="D725" s="1">
        <v>45390</v>
      </c>
      <c r="E725">
        <v>2500</v>
      </c>
      <c r="F725">
        <v>2500</v>
      </c>
      <c r="G725">
        <v>0</v>
      </c>
      <c r="H725">
        <v>0</v>
      </c>
      <c r="I725" t="s">
        <v>33</v>
      </c>
      <c r="J725" t="s">
        <v>34</v>
      </c>
      <c r="K725" t="s">
        <v>19</v>
      </c>
      <c r="L725" t="s">
        <v>20</v>
      </c>
      <c r="M725">
        <v>95</v>
      </c>
      <c r="N725" t="s">
        <v>21</v>
      </c>
      <c r="O725" t="s">
        <v>22</v>
      </c>
      <c r="P725" t="s">
        <v>23</v>
      </c>
    </row>
    <row r="726" spans="1:16" x14ac:dyDescent="0.3">
      <c r="A726" t="s">
        <v>2288</v>
      </c>
      <c r="B726" t="s">
        <v>2289</v>
      </c>
      <c r="C726" s="1">
        <v>45391</v>
      </c>
      <c r="D726" s="1">
        <v>45391</v>
      </c>
      <c r="E726">
        <v>1320</v>
      </c>
      <c r="F726">
        <v>1346.4</v>
      </c>
      <c r="G726">
        <v>26.4</v>
      </c>
      <c r="H726">
        <v>0</v>
      </c>
      <c r="I726" t="s">
        <v>108</v>
      </c>
      <c r="J726" t="s">
        <v>109</v>
      </c>
      <c r="K726" t="s">
        <v>278</v>
      </c>
      <c r="L726" t="s">
        <v>2290</v>
      </c>
      <c r="M726">
        <v>80</v>
      </c>
      <c r="N726" t="s">
        <v>93</v>
      </c>
      <c r="O726" t="s">
        <v>22</v>
      </c>
      <c r="P726" t="s">
        <v>23</v>
      </c>
    </row>
    <row r="727" spans="1:16" x14ac:dyDescent="0.3">
      <c r="A727" t="s">
        <v>2291</v>
      </c>
      <c r="B727" t="s">
        <v>2292</v>
      </c>
      <c r="C727" s="1">
        <v>45391</v>
      </c>
      <c r="D727" s="1">
        <v>45391</v>
      </c>
      <c r="E727">
        <v>400</v>
      </c>
      <c r="F727">
        <v>400</v>
      </c>
      <c r="G727">
        <v>0</v>
      </c>
      <c r="H727">
        <v>0</v>
      </c>
      <c r="I727" t="s">
        <v>358</v>
      </c>
      <c r="J727" t="s">
        <v>359</v>
      </c>
      <c r="K727" t="s">
        <v>19</v>
      </c>
      <c r="L727" t="s">
        <v>20</v>
      </c>
      <c r="M727">
        <v>95</v>
      </c>
      <c r="N727" t="s">
        <v>21</v>
      </c>
      <c r="O727" t="s">
        <v>22</v>
      </c>
      <c r="P727" t="s">
        <v>23</v>
      </c>
    </row>
    <row r="728" spans="1:16" x14ac:dyDescent="0.3">
      <c r="A728" t="s">
        <v>2293</v>
      </c>
      <c r="B728" t="s">
        <v>2294</v>
      </c>
      <c r="C728" s="1">
        <v>45391</v>
      </c>
      <c r="D728" s="1">
        <v>45391</v>
      </c>
      <c r="E728">
        <v>200</v>
      </c>
      <c r="F728">
        <v>200</v>
      </c>
      <c r="G728">
        <v>0</v>
      </c>
      <c r="H728">
        <v>0</v>
      </c>
      <c r="I728" t="s">
        <v>2295</v>
      </c>
      <c r="J728" t="s">
        <v>2296</v>
      </c>
      <c r="K728" t="s">
        <v>19</v>
      </c>
      <c r="L728" t="s">
        <v>20</v>
      </c>
      <c r="M728">
        <v>95</v>
      </c>
      <c r="N728" t="s">
        <v>21</v>
      </c>
      <c r="O728" t="s">
        <v>22</v>
      </c>
      <c r="P728" t="s">
        <v>23</v>
      </c>
    </row>
    <row r="729" spans="1:16" x14ac:dyDescent="0.3">
      <c r="A729" t="s">
        <v>2297</v>
      </c>
      <c r="B729" t="s">
        <v>2298</v>
      </c>
      <c r="C729" s="1">
        <v>45391</v>
      </c>
      <c r="D729" s="1">
        <v>45391</v>
      </c>
      <c r="E729">
        <v>130</v>
      </c>
      <c r="F729">
        <v>132.6</v>
      </c>
      <c r="G729">
        <v>2.6</v>
      </c>
      <c r="H729">
        <v>0</v>
      </c>
      <c r="I729" t="s">
        <v>2299</v>
      </c>
      <c r="J729" t="s">
        <v>2300</v>
      </c>
      <c r="K729" t="s">
        <v>278</v>
      </c>
      <c r="L729" t="s">
        <v>2301</v>
      </c>
      <c r="M729">
        <v>80</v>
      </c>
      <c r="N729" t="s">
        <v>93</v>
      </c>
      <c r="O729" t="s">
        <v>22</v>
      </c>
      <c r="P729" t="s">
        <v>23</v>
      </c>
    </row>
    <row r="730" spans="1:16" x14ac:dyDescent="0.3">
      <c r="A730" t="s">
        <v>2302</v>
      </c>
      <c r="B730" t="s">
        <v>2303</v>
      </c>
      <c r="C730" s="1">
        <v>45391</v>
      </c>
      <c r="D730" s="1">
        <v>45391</v>
      </c>
      <c r="E730">
        <v>260</v>
      </c>
      <c r="F730">
        <v>260</v>
      </c>
      <c r="G730">
        <v>0</v>
      </c>
      <c r="H730">
        <v>0</v>
      </c>
      <c r="I730" t="s">
        <v>358</v>
      </c>
      <c r="J730" t="s">
        <v>359</v>
      </c>
      <c r="K730" t="s">
        <v>19</v>
      </c>
      <c r="L730" t="s">
        <v>20</v>
      </c>
      <c r="M730">
        <v>95</v>
      </c>
      <c r="N730" t="s">
        <v>21</v>
      </c>
      <c r="O730" t="s">
        <v>22</v>
      </c>
      <c r="P730" t="s">
        <v>23</v>
      </c>
    </row>
    <row r="731" spans="1:16" x14ac:dyDescent="0.3">
      <c r="A731" t="s">
        <v>2304</v>
      </c>
      <c r="B731" t="s">
        <v>2305</v>
      </c>
      <c r="C731" s="1">
        <v>45391</v>
      </c>
      <c r="D731" s="1">
        <v>45392</v>
      </c>
      <c r="E731">
        <v>130</v>
      </c>
      <c r="F731">
        <v>130</v>
      </c>
      <c r="G731">
        <v>0</v>
      </c>
      <c r="H731">
        <v>1</v>
      </c>
      <c r="I731" t="s">
        <v>358</v>
      </c>
      <c r="J731" t="s">
        <v>359</v>
      </c>
      <c r="K731" t="s">
        <v>235</v>
      </c>
      <c r="L731" t="s">
        <v>265</v>
      </c>
      <c r="M731">
        <v>80</v>
      </c>
      <c r="N731" t="s">
        <v>93</v>
      </c>
      <c r="O731" t="s">
        <v>22</v>
      </c>
      <c r="P731" t="s">
        <v>23</v>
      </c>
    </row>
    <row r="732" spans="1:16" x14ac:dyDescent="0.3">
      <c r="A732" t="s">
        <v>2306</v>
      </c>
      <c r="B732" t="s">
        <v>2307</v>
      </c>
      <c r="C732" s="1">
        <v>45391</v>
      </c>
      <c r="D732" s="1">
        <v>45391</v>
      </c>
      <c r="E732">
        <v>16</v>
      </c>
      <c r="F732">
        <v>16</v>
      </c>
      <c r="G732">
        <v>0</v>
      </c>
      <c r="H732">
        <v>0</v>
      </c>
      <c r="I732" t="s">
        <v>2308</v>
      </c>
      <c r="J732" t="s">
        <v>2309</v>
      </c>
      <c r="K732" t="s">
        <v>19</v>
      </c>
      <c r="L732" t="s">
        <v>20</v>
      </c>
      <c r="M732">
        <v>95</v>
      </c>
      <c r="N732" t="s">
        <v>21</v>
      </c>
      <c r="O732" t="s">
        <v>22</v>
      </c>
      <c r="P732" t="s">
        <v>23</v>
      </c>
    </row>
    <row r="733" spans="1:16" x14ac:dyDescent="0.3">
      <c r="A733" t="s">
        <v>2310</v>
      </c>
      <c r="B733" t="s">
        <v>2311</v>
      </c>
      <c r="C733" s="1">
        <v>45392</v>
      </c>
      <c r="D733" s="1">
        <v>45391</v>
      </c>
      <c r="E733">
        <v>700</v>
      </c>
      <c r="F733">
        <v>700</v>
      </c>
      <c r="G733">
        <v>0</v>
      </c>
      <c r="H733">
        <v>-1</v>
      </c>
      <c r="I733" t="s">
        <v>108</v>
      </c>
      <c r="J733" t="s">
        <v>109</v>
      </c>
      <c r="K733" t="s">
        <v>235</v>
      </c>
      <c r="L733" t="s">
        <v>265</v>
      </c>
      <c r="M733">
        <v>80</v>
      </c>
      <c r="N733" t="s">
        <v>93</v>
      </c>
      <c r="O733" t="s">
        <v>22</v>
      </c>
      <c r="P733" t="s">
        <v>23</v>
      </c>
    </row>
    <row r="734" spans="1:16" x14ac:dyDescent="0.3">
      <c r="A734" t="s">
        <v>2312</v>
      </c>
      <c r="B734" t="s">
        <v>2313</v>
      </c>
      <c r="C734" s="1">
        <v>45392</v>
      </c>
      <c r="D734" s="1">
        <v>45392</v>
      </c>
      <c r="E734">
        <v>19</v>
      </c>
      <c r="F734">
        <v>19</v>
      </c>
      <c r="G734">
        <v>0</v>
      </c>
      <c r="H734">
        <v>0</v>
      </c>
      <c r="I734" t="s">
        <v>1526</v>
      </c>
      <c r="J734" t="s">
        <v>1527</v>
      </c>
      <c r="K734" t="s">
        <v>19</v>
      </c>
      <c r="L734" t="s">
        <v>20</v>
      </c>
      <c r="M734">
        <v>95</v>
      </c>
      <c r="N734" t="s">
        <v>21</v>
      </c>
      <c r="O734" t="s">
        <v>22</v>
      </c>
      <c r="P734" t="s">
        <v>23</v>
      </c>
    </row>
    <row r="735" spans="1:16" x14ac:dyDescent="0.3">
      <c r="A735" t="s">
        <v>2314</v>
      </c>
      <c r="B735" t="s">
        <v>2315</v>
      </c>
      <c r="C735" s="1">
        <v>45392</v>
      </c>
      <c r="D735" s="1">
        <v>45393</v>
      </c>
      <c r="E735">
        <v>130</v>
      </c>
      <c r="F735">
        <v>130</v>
      </c>
      <c r="G735">
        <v>0</v>
      </c>
      <c r="H735">
        <v>1</v>
      </c>
      <c r="I735" t="s">
        <v>358</v>
      </c>
      <c r="J735" t="s">
        <v>359</v>
      </c>
      <c r="K735" t="s">
        <v>235</v>
      </c>
      <c r="L735" t="s">
        <v>265</v>
      </c>
      <c r="M735">
        <v>80</v>
      </c>
      <c r="N735" t="s">
        <v>93</v>
      </c>
      <c r="O735" t="s">
        <v>22</v>
      </c>
      <c r="P735" t="s">
        <v>23</v>
      </c>
    </row>
    <row r="736" spans="1:16" x14ac:dyDescent="0.3">
      <c r="A736" t="s">
        <v>2316</v>
      </c>
      <c r="B736" t="s">
        <v>2317</v>
      </c>
      <c r="C736" s="1">
        <v>45392</v>
      </c>
      <c r="D736" s="1">
        <v>45392</v>
      </c>
      <c r="E736">
        <v>20</v>
      </c>
      <c r="F736">
        <v>21</v>
      </c>
      <c r="G736">
        <v>1</v>
      </c>
      <c r="H736">
        <v>0</v>
      </c>
      <c r="I736" t="s">
        <v>2318</v>
      </c>
      <c r="J736" t="s">
        <v>2319</v>
      </c>
      <c r="K736" t="s">
        <v>278</v>
      </c>
      <c r="L736" t="s">
        <v>2320</v>
      </c>
      <c r="M736">
        <v>80</v>
      </c>
      <c r="N736" t="s">
        <v>93</v>
      </c>
      <c r="O736" t="s">
        <v>22</v>
      </c>
      <c r="P736" t="s">
        <v>23</v>
      </c>
    </row>
    <row r="737" spans="1:16" x14ac:dyDescent="0.3">
      <c r="A737" t="s">
        <v>2321</v>
      </c>
      <c r="B737" t="s">
        <v>2322</v>
      </c>
      <c r="C737" s="1">
        <v>45392</v>
      </c>
      <c r="D737" s="1">
        <v>45392</v>
      </c>
      <c r="E737">
        <v>35</v>
      </c>
      <c r="F737">
        <v>35</v>
      </c>
      <c r="G737">
        <v>0</v>
      </c>
      <c r="H737">
        <v>0</v>
      </c>
      <c r="I737" t="s">
        <v>358</v>
      </c>
      <c r="J737" t="s">
        <v>359</v>
      </c>
      <c r="K737" t="s">
        <v>19</v>
      </c>
      <c r="L737" t="s">
        <v>20</v>
      </c>
      <c r="M737">
        <v>95</v>
      </c>
      <c r="N737" t="s">
        <v>21</v>
      </c>
      <c r="O737" t="s">
        <v>22</v>
      </c>
      <c r="P737" t="s">
        <v>23</v>
      </c>
    </row>
    <row r="738" spans="1:16" x14ac:dyDescent="0.3">
      <c r="A738" t="s">
        <v>2323</v>
      </c>
      <c r="B738" t="s">
        <v>2324</v>
      </c>
      <c r="C738" s="1">
        <v>45393</v>
      </c>
      <c r="D738" s="1">
        <v>45393</v>
      </c>
      <c r="E738">
        <v>230</v>
      </c>
      <c r="F738">
        <v>230</v>
      </c>
      <c r="G738">
        <v>0</v>
      </c>
      <c r="H738">
        <v>0</v>
      </c>
      <c r="I738" t="s">
        <v>108</v>
      </c>
      <c r="J738" t="s">
        <v>109</v>
      </c>
      <c r="K738" t="s">
        <v>19</v>
      </c>
      <c r="L738" t="s">
        <v>110</v>
      </c>
      <c r="M738">
        <v>100</v>
      </c>
      <c r="N738" t="s">
        <v>21</v>
      </c>
      <c r="O738" t="s">
        <v>22</v>
      </c>
      <c r="P738" t="s">
        <v>23</v>
      </c>
    </row>
    <row r="739" spans="1:16" x14ac:dyDescent="0.3">
      <c r="A739" t="s">
        <v>2325</v>
      </c>
      <c r="B739" t="s">
        <v>2326</v>
      </c>
      <c r="C739" s="1">
        <v>45393</v>
      </c>
      <c r="D739" s="1">
        <v>45393</v>
      </c>
      <c r="E739">
        <v>721</v>
      </c>
      <c r="F739">
        <v>720.9</v>
      </c>
      <c r="G739">
        <v>0</v>
      </c>
      <c r="H739">
        <v>0</v>
      </c>
      <c r="I739" t="s">
        <v>1526</v>
      </c>
      <c r="J739" t="s">
        <v>1527</v>
      </c>
      <c r="K739" t="s">
        <v>19</v>
      </c>
      <c r="L739" t="s">
        <v>20</v>
      </c>
      <c r="M739">
        <v>95</v>
      </c>
      <c r="N739" t="s">
        <v>21</v>
      </c>
      <c r="O739" t="s">
        <v>22</v>
      </c>
      <c r="P739" t="s">
        <v>23</v>
      </c>
    </row>
    <row r="740" spans="1:16" x14ac:dyDescent="0.3">
      <c r="A740" t="s">
        <v>2327</v>
      </c>
      <c r="B740" t="s">
        <v>2328</v>
      </c>
      <c r="C740" s="1">
        <v>45393</v>
      </c>
      <c r="D740" s="1">
        <v>45397</v>
      </c>
      <c r="E740">
        <v>130</v>
      </c>
      <c r="F740">
        <v>130</v>
      </c>
      <c r="G740">
        <v>0</v>
      </c>
      <c r="H740">
        <v>4</v>
      </c>
      <c r="I740" t="s">
        <v>358</v>
      </c>
      <c r="J740" t="s">
        <v>359</v>
      </c>
      <c r="K740" t="s">
        <v>235</v>
      </c>
      <c r="L740" t="s">
        <v>2329</v>
      </c>
      <c r="M740">
        <v>65</v>
      </c>
      <c r="N740" t="s">
        <v>164</v>
      </c>
      <c r="O740" t="s">
        <v>22</v>
      </c>
      <c r="P740" t="s">
        <v>23</v>
      </c>
    </row>
    <row r="741" spans="1:16" x14ac:dyDescent="0.3">
      <c r="A741" t="s">
        <v>2330</v>
      </c>
      <c r="B741" t="s">
        <v>2331</v>
      </c>
      <c r="C741" s="1">
        <v>45393</v>
      </c>
      <c r="D741" s="1">
        <v>45393</v>
      </c>
      <c r="E741">
        <v>220</v>
      </c>
      <c r="F741">
        <v>220</v>
      </c>
      <c r="G741">
        <v>0</v>
      </c>
      <c r="H741">
        <v>0</v>
      </c>
      <c r="I741" t="s">
        <v>2332</v>
      </c>
      <c r="J741" t="s">
        <v>2333</v>
      </c>
      <c r="K741" t="s">
        <v>19</v>
      </c>
      <c r="L741" t="s">
        <v>20</v>
      </c>
      <c r="M741">
        <v>95</v>
      </c>
      <c r="N741" t="s">
        <v>21</v>
      </c>
      <c r="O741" t="s">
        <v>22</v>
      </c>
      <c r="P741" t="s">
        <v>23</v>
      </c>
    </row>
    <row r="742" spans="1:16" x14ac:dyDescent="0.3">
      <c r="A742" t="s">
        <v>2334</v>
      </c>
      <c r="B742" t="s">
        <v>2335</v>
      </c>
      <c r="C742" s="1">
        <v>45394</v>
      </c>
      <c r="D742" s="1">
        <v>45394</v>
      </c>
      <c r="E742">
        <v>2589</v>
      </c>
      <c r="F742">
        <v>2589</v>
      </c>
      <c r="G742">
        <v>0</v>
      </c>
      <c r="H742">
        <v>0</v>
      </c>
      <c r="I742" t="s">
        <v>108</v>
      </c>
      <c r="J742" t="s">
        <v>109</v>
      </c>
      <c r="K742" t="s">
        <v>19</v>
      </c>
      <c r="L742" t="s">
        <v>110</v>
      </c>
      <c r="M742">
        <v>100</v>
      </c>
      <c r="N742" t="s">
        <v>21</v>
      </c>
      <c r="O742" t="s">
        <v>22</v>
      </c>
      <c r="P742" t="s">
        <v>23</v>
      </c>
    </row>
    <row r="743" spans="1:16" x14ac:dyDescent="0.3">
      <c r="A743" t="s">
        <v>2336</v>
      </c>
      <c r="B743" t="s">
        <v>2337</v>
      </c>
      <c r="C743" s="1">
        <v>45394</v>
      </c>
      <c r="D743" s="1">
        <v>45394</v>
      </c>
      <c r="E743">
        <v>500</v>
      </c>
      <c r="F743">
        <v>500</v>
      </c>
      <c r="G743">
        <v>0</v>
      </c>
      <c r="H743">
        <v>0</v>
      </c>
      <c r="I743" t="s">
        <v>2338</v>
      </c>
      <c r="J743" t="s">
        <v>2339</v>
      </c>
      <c r="K743" t="s">
        <v>19</v>
      </c>
      <c r="L743" t="s">
        <v>20</v>
      </c>
      <c r="M743">
        <v>95</v>
      </c>
      <c r="N743" t="s">
        <v>21</v>
      </c>
      <c r="O743" t="s">
        <v>22</v>
      </c>
      <c r="P743" t="s">
        <v>23</v>
      </c>
    </row>
    <row r="744" spans="1:16" x14ac:dyDescent="0.3">
      <c r="A744" t="s">
        <v>2340</v>
      </c>
      <c r="B744" t="s">
        <v>2341</v>
      </c>
      <c r="C744" s="1">
        <v>45394</v>
      </c>
      <c r="D744" s="1">
        <v>45394</v>
      </c>
      <c r="E744">
        <v>450</v>
      </c>
      <c r="F744">
        <v>450</v>
      </c>
      <c r="G744">
        <v>0</v>
      </c>
      <c r="H744">
        <v>0</v>
      </c>
      <c r="I744" t="s">
        <v>2342</v>
      </c>
      <c r="J744" t="s">
        <v>2343</v>
      </c>
      <c r="K744" t="s">
        <v>19</v>
      </c>
      <c r="L744" t="s">
        <v>20</v>
      </c>
      <c r="M744">
        <v>95</v>
      </c>
      <c r="N744" t="s">
        <v>21</v>
      </c>
      <c r="O744" t="s">
        <v>22</v>
      </c>
      <c r="P744" t="s">
        <v>23</v>
      </c>
    </row>
    <row r="745" spans="1:16" x14ac:dyDescent="0.3">
      <c r="A745" t="s">
        <v>2344</v>
      </c>
      <c r="B745" t="s">
        <v>2345</v>
      </c>
      <c r="C745" s="1">
        <v>45394</v>
      </c>
      <c r="D745" s="1">
        <v>45394</v>
      </c>
      <c r="E745">
        <v>30000</v>
      </c>
      <c r="F745">
        <v>30000</v>
      </c>
      <c r="G745">
        <v>0</v>
      </c>
      <c r="H745">
        <v>0</v>
      </c>
      <c r="I745" t="s">
        <v>2346</v>
      </c>
      <c r="J745" t="s">
        <v>2347</v>
      </c>
      <c r="K745" t="s">
        <v>19</v>
      </c>
      <c r="L745" t="s">
        <v>20</v>
      </c>
      <c r="M745">
        <v>95</v>
      </c>
      <c r="N745" t="s">
        <v>21</v>
      </c>
      <c r="O745" t="s">
        <v>22</v>
      </c>
      <c r="P745" t="s">
        <v>23</v>
      </c>
    </row>
    <row r="746" spans="1:16" x14ac:dyDescent="0.3">
      <c r="A746" t="s">
        <v>2348</v>
      </c>
      <c r="B746" t="s">
        <v>2349</v>
      </c>
      <c r="C746" s="1">
        <v>45394</v>
      </c>
      <c r="D746" s="1">
        <v>45394</v>
      </c>
      <c r="E746">
        <v>30000</v>
      </c>
      <c r="F746">
        <v>30000</v>
      </c>
      <c r="G746">
        <v>0</v>
      </c>
      <c r="H746">
        <v>0</v>
      </c>
      <c r="I746" t="s">
        <v>2350</v>
      </c>
      <c r="J746" t="s">
        <v>2351</v>
      </c>
      <c r="K746" t="s">
        <v>19</v>
      </c>
      <c r="L746" t="s">
        <v>20</v>
      </c>
      <c r="M746">
        <v>95</v>
      </c>
      <c r="N746" t="s">
        <v>21</v>
      </c>
      <c r="O746" t="s">
        <v>22</v>
      </c>
      <c r="P746" t="s">
        <v>23</v>
      </c>
    </row>
    <row r="747" spans="1:16" x14ac:dyDescent="0.3">
      <c r="A747" t="s">
        <v>2352</v>
      </c>
      <c r="B747" t="s">
        <v>2353</v>
      </c>
      <c r="C747" s="1">
        <v>45395</v>
      </c>
      <c r="D747" s="1">
        <v>45395</v>
      </c>
      <c r="E747">
        <v>800</v>
      </c>
      <c r="F747">
        <v>800</v>
      </c>
      <c r="G747">
        <v>0</v>
      </c>
      <c r="H747">
        <v>0</v>
      </c>
      <c r="I747" t="s">
        <v>108</v>
      </c>
      <c r="J747" t="s">
        <v>109</v>
      </c>
      <c r="K747" t="s">
        <v>19</v>
      </c>
      <c r="L747" t="s">
        <v>110</v>
      </c>
      <c r="M747">
        <v>100</v>
      </c>
      <c r="N747" t="s">
        <v>21</v>
      </c>
      <c r="O747" t="s">
        <v>22</v>
      </c>
      <c r="P747" t="s">
        <v>23</v>
      </c>
    </row>
    <row r="748" spans="1:16" x14ac:dyDescent="0.3">
      <c r="A748" t="s">
        <v>2354</v>
      </c>
      <c r="B748" t="s">
        <v>2355</v>
      </c>
      <c r="C748" s="1">
        <v>45395</v>
      </c>
      <c r="D748" s="1">
        <v>45395</v>
      </c>
      <c r="E748">
        <v>2350</v>
      </c>
      <c r="F748">
        <v>2350</v>
      </c>
      <c r="G748">
        <v>0</v>
      </c>
      <c r="H748">
        <v>0</v>
      </c>
      <c r="I748" t="s">
        <v>2356</v>
      </c>
      <c r="J748" t="s">
        <v>2357</v>
      </c>
      <c r="K748" t="s">
        <v>19</v>
      </c>
      <c r="L748" t="s">
        <v>20</v>
      </c>
      <c r="M748">
        <v>95</v>
      </c>
      <c r="N748" t="s">
        <v>21</v>
      </c>
      <c r="O748" t="s">
        <v>22</v>
      </c>
      <c r="P748" t="s">
        <v>23</v>
      </c>
    </row>
    <row r="749" spans="1:16" x14ac:dyDescent="0.3">
      <c r="A749" t="s">
        <v>2358</v>
      </c>
      <c r="B749" t="s">
        <v>2359</v>
      </c>
      <c r="C749" s="1">
        <v>45395</v>
      </c>
      <c r="D749" s="1">
        <v>45395</v>
      </c>
      <c r="E749">
        <v>1500</v>
      </c>
      <c r="F749">
        <v>1500</v>
      </c>
      <c r="G749">
        <v>0</v>
      </c>
      <c r="H749">
        <v>0</v>
      </c>
      <c r="I749" t="s">
        <v>2360</v>
      </c>
      <c r="J749" t="s">
        <v>2361</v>
      </c>
      <c r="K749" t="s">
        <v>19</v>
      </c>
      <c r="L749" t="s">
        <v>20</v>
      </c>
      <c r="M749">
        <v>95</v>
      </c>
      <c r="N749" t="s">
        <v>21</v>
      </c>
      <c r="O749" t="s">
        <v>22</v>
      </c>
      <c r="P749" t="s">
        <v>23</v>
      </c>
    </row>
    <row r="750" spans="1:16" x14ac:dyDescent="0.3">
      <c r="A750" t="s">
        <v>2362</v>
      </c>
      <c r="B750" t="s">
        <v>2363</v>
      </c>
      <c r="C750" s="1">
        <v>45396</v>
      </c>
      <c r="D750" s="1">
        <v>45396</v>
      </c>
      <c r="E750">
        <v>1500</v>
      </c>
      <c r="F750">
        <v>1500</v>
      </c>
      <c r="G750">
        <v>0</v>
      </c>
      <c r="H750">
        <v>0</v>
      </c>
      <c r="I750" t="s">
        <v>2364</v>
      </c>
      <c r="J750" t="s">
        <v>2365</v>
      </c>
      <c r="K750" t="s">
        <v>19</v>
      </c>
      <c r="L750" t="s">
        <v>20</v>
      </c>
      <c r="M750">
        <v>95</v>
      </c>
      <c r="N750" t="s">
        <v>21</v>
      </c>
      <c r="O750" t="s">
        <v>22</v>
      </c>
      <c r="P750" t="s">
        <v>23</v>
      </c>
    </row>
    <row r="751" spans="1:16" x14ac:dyDescent="0.3">
      <c r="A751" t="s">
        <v>2366</v>
      </c>
      <c r="B751" t="s">
        <v>2367</v>
      </c>
      <c r="C751" s="1">
        <v>45396</v>
      </c>
      <c r="D751" s="1">
        <v>45396</v>
      </c>
      <c r="E751">
        <v>150</v>
      </c>
      <c r="F751">
        <v>150</v>
      </c>
      <c r="G751">
        <v>0</v>
      </c>
      <c r="H751">
        <v>0</v>
      </c>
      <c r="I751" t="s">
        <v>2368</v>
      </c>
      <c r="J751" t="s">
        <v>2369</v>
      </c>
      <c r="K751" t="s">
        <v>19</v>
      </c>
      <c r="L751" t="s">
        <v>20</v>
      </c>
      <c r="M751">
        <v>95</v>
      </c>
      <c r="N751" t="s">
        <v>21</v>
      </c>
      <c r="O751" t="s">
        <v>22</v>
      </c>
      <c r="P751" t="s">
        <v>23</v>
      </c>
    </row>
    <row r="752" spans="1:16" x14ac:dyDescent="0.3">
      <c r="A752" t="s">
        <v>2370</v>
      </c>
      <c r="B752" t="s">
        <v>2371</v>
      </c>
      <c r="C752" s="1">
        <v>45397</v>
      </c>
      <c r="D752" s="1">
        <v>45397</v>
      </c>
      <c r="E752">
        <v>950</v>
      </c>
      <c r="F752">
        <v>950</v>
      </c>
      <c r="G752">
        <v>0</v>
      </c>
      <c r="H752">
        <v>0</v>
      </c>
      <c r="I752" t="s">
        <v>108</v>
      </c>
      <c r="J752" t="s">
        <v>109</v>
      </c>
      <c r="K752" t="s">
        <v>19</v>
      </c>
      <c r="L752" t="s">
        <v>110</v>
      </c>
      <c r="M752">
        <v>100</v>
      </c>
      <c r="N752" t="s">
        <v>21</v>
      </c>
      <c r="O752" t="s">
        <v>22</v>
      </c>
      <c r="P752" t="s">
        <v>23</v>
      </c>
    </row>
    <row r="753" spans="1:16" x14ac:dyDescent="0.3">
      <c r="A753" t="s">
        <v>2372</v>
      </c>
      <c r="B753" t="s">
        <v>2373</v>
      </c>
      <c r="C753" s="1">
        <v>45397</v>
      </c>
      <c r="D753" s="1">
        <v>45396</v>
      </c>
      <c r="E753">
        <v>10</v>
      </c>
      <c r="F753">
        <v>10</v>
      </c>
      <c r="G753">
        <v>0</v>
      </c>
      <c r="H753">
        <v>-1</v>
      </c>
      <c r="I753" t="s">
        <v>2374</v>
      </c>
      <c r="J753" t="s">
        <v>2375</v>
      </c>
      <c r="K753" t="s">
        <v>235</v>
      </c>
      <c r="L753" t="s">
        <v>265</v>
      </c>
      <c r="M753">
        <v>80</v>
      </c>
      <c r="N753" t="s">
        <v>93</v>
      </c>
      <c r="O753" t="s">
        <v>22</v>
      </c>
      <c r="P753" t="s">
        <v>23</v>
      </c>
    </row>
    <row r="754" spans="1:16" x14ac:dyDescent="0.3">
      <c r="A754" t="s">
        <v>2376</v>
      </c>
      <c r="B754" t="s">
        <v>2377</v>
      </c>
      <c r="C754" s="1">
        <v>45397</v>
      </c>
      <c r="D754" s="1">
        <v>45397</v>
      </c>
      <c r="E754">
        <v>50</v>
      </c>
      <c r="F754">
        <v>50</v>
      </c>
      <c r="G754">
        <v>0</v>
      </c>
      <c r="H754">
        <v>0</v>
      </c>
      <c r="I754" t="s">
        <v>2378</v>
      </c>
      <c r="J754" t="s">
        <v>2379</v>
      </c>
      <c r="K754" t="s">
        <v>19</v>
      </c>
      <c r="L754" t="s">
        <v>20</v>
      </c>
      <c r="M754">
        <v>95</v>
      </c>
      <c r="N754" t="s">
        <v>21</v>
      </c>
      <c r="O754" t="s">
        <v>22</v>
      </c>
      <c r="P754" t="s">
        <v>23</v>
      </c>
    </row>
    <row r="755" spans="1:16" x14ac:dyDescent="0.3">
      <c r="A755" t="s">
        <v>2380</v>
      </c>
      <c r="B755" t="s">
        <v>2381</v>
      </c>
      <c r="C755" s="1">
        <v>45397</v>
      </c>
      <c r="D755" s="1">
        <v>45397</v>
      </c>
      <c r="E755">
        <v>200</v>
      </c>
      <c r="F755">
        <v>200</v>
      </c>
      <c r="G755">
        <v>0</v>
      </c>
      <c r="H755">
        <v>0</v>
      </c>
      <c r="I755" t="s">
        <v>2382</v>
      </c>
      <c r="J755" t="s">
        <v>2383</v>
      </c>
      <c r="K755" t="s">
        <v>19</v>
      </c>
      <c r="L755" t="s">
        <v>20</v>
      </c>
      <c r="M755">
        <v>95</v>
      </c>
      <c r="N755" t="s">
        <v>21</v>
      </c>
      <c r="O755" t="s">
        <v>22</v>
      </c>
      <c r="P755" t="s">
        <v>23</v>
      </c>
    </row>
    <row r="756" spans="1:16" x14ac:dyDescent="0.3">
      <c r="A756" t="s">
        <v>2384</v>
      </c>
      <c r="B756" t="s">
        <v>2385</v>
      </c>
      <c r="C756" s="1">
        <v>45397</v>
      </c>
      <c r="D756" s="1">
        <v>45397</v>
      </c>
      <c r="E756">
        <v>15</v>
      </c>
      <c r="F756">
        <v>15</v>
      </c>
      <c r="G756">
        <v>0</v>
      </c>
      <c r="H756">
        <v>0</v>
      </c>
      <c r="I756" t="s">
        <v>1526</v>
      </c>
      <c r="J756" t="s">
        <v>1527</v>
      </c>
      <c r="K756" t="s">
        <v>19</v>
      </c>
      <c r="L756" t="s">
        <v>20</v>
      </c>
      <c r="M756">
        <v>95</v>
      </c>
      <c r="N756" t="s">
        <v>21</v>
      </c>
      <c r="O756" t="s">
        <v>22</v>
      </c>
      <c r="P756" t="s">
        <v>23</v>
      </c>
    </row>
    <row r="757" spans="1:16" x14ac:dyDescent="0.3">
      <c r="A757" t="s">
        <v>2386</v>
      </c>
      <c r="B757" t="s">
        <v>2387</v>
      </c>
      <c r="C757" s="1">
        <v>45397</v>
      </c>
      <c r="D757" s="1">
        <v>45398</v>
      </c>
      <c r="E757">
        <v>130</v>
      </c>
      <c r="F757">
        <v>130</v>
      </c>
      <c r="G757">
        <v>0</v>
      </c>
      <c r="H757">
        <v>1</v>
      </c>
      <c r="I757" t="s">
        <v>358</v>
      </c>
      <c r="J757" t="s">
        <v>359</v>
      </c>
      <c r="K757" t="s">
        <v>235</v>
      </c>
      <c r="L757" t="s">
        <v>265</v>
      </c>
      <c r="M757">
        <v>80</v>
      </c>
      <c r="N757" t="s">
        <v>93</v>
      </c>
      <c r="O757" t="s">
        <v>22</v>
      </c>
      <c r="P757" t="s">
        <v>23</v>
      </c>
    </row>
    <row r="758" spans="1:16" x14ac:dyDescent="0.3">
      <c r="A758" t="s">
        <v>2388</v>
      </c>
      <c r="B758" t="s">
        <v>2389</v>
      </c>
      <c r="C758" s="1">
        <v>45398</v>
      </c>
      <c r="D758" s="1">
        <v>45437</v>
      </c>
      <c r="E758">
        <v>600</v>
      </c>
      <c r="F758">
        <v>600</v>
      </c>
      <c r="G758">
        <v>0</v>
      </c>
      <c r="H758">
        <v>39</v>
      </c>
      <c r="I758" t="s">
        <v>108</v>
      </c>
      <c r="J758" t="s">
        <v>109</v>
      </c>
      <c r="K758" t="s">
        <v>91</v>
      </c>
      <c r="L758" t="s">
        <v>2390</v>
      </c>
      <c r="M758">
        <v>60</v>
      </c>
      <c r="N758" t="s">
        <v>164</v>
      </c>
      <c r="O758" t="s">
        <v>22</v>
      </c>
      <c r="P758" t="s">
        <v>23</v>
      </c>
    </row>
    <row r="759" spans="1:16" x14ac:dyDescent="0.3">
      <c r="A759" t="s">
        <v>2391</v>
      </c>
      <c r="B759" t="s">
        <v>2392</v>
      </c>
      <c r="C759" s="1">
        <v>45398</v>
      </c>
      <c r="D759" s="1">
        <v>45402</v>
      </c>
      <c r="E759">
        <v>130</v>
      </c>
      <c r="F759">
        <v>130</v>
      </c>
      <c r="G759">
        <v>0</v>
      </c>
      <c r="H759">
        <v>4</v>
      </c>
      <c r="I759" t="s">
        <v>358</v>
      </c>
      <c r="J759" t="s">
        <v>359</v>
      </c>
      <c r="K759" t="s">
        <v>235</v>
      </c>
      <c r="L759" t="s">
        <v>2329</v>
      </c>
      <c r="M759">
        <v>65</v>
      </c>
      <c r="N759" t="s">
        <v>164</v>
      </c>
      <c r="O759" t="s">
        <v>22</v>
      </c>
      <c r="P759" t="s">
        <v>23</v>
      </c>
    </row>
    <row r="760" spans="1:16" x14ac:dyDescent="0.3">
      <c r="A760" t="s">
        <v>2393</v>
      </c>
      <c r="B760" t="s">
        <v>2394</v>
      </c>
      <c r="C760" s="1">
        <v>45399</v>
      </c>
      <c r="D760" s="1">
        <v>45399</v>
      </c>
      <c r="E760">
        <v>3420</v>
      </c>
      <c r="F760">
        <v>3420</v>
      </c>
      <c r="G760">
        <v>0</v>
      </c>
      <c r="H760">
        <v>0</v>
      </c>
      <c r="I760" t="s">
        <v>108</v>
      </c>
      <c r="J760" t="s">
        <v>109</v>
      </c>
      <c r="K760" t="s">
        <v>19</v>
      </c>
      <c r="L760" t="s">
        <v>110</v>
      </c>
      <c r="M760">
        <v>100</v>
      </c>
      <c r="N760" t="s">
        <v>21</v>
      </c>
      <c r="O760" t="s">
        <v>22</v>
      </c>
      <c r="P760" t="s">
        <v>23</v>
      </c>
    </row>
    <row r="761" spans="1:16" x14ac:dyDescent="0.3">
      <c r="A761" t="s">
        <v>2395</v>
      </c>
      <c r="B761" t="s">
        <v>2396</v>
      </c>
      <c r="C761" s="1">
        <v>45399</v>
      </c>
      <c r="D761" s="1">
        <v>45399</v>
      </c>
      <c r="E761">
        <v>100</v>
      </c>
      <c r="F761">
        <v>100</v>
      </c>
      <c r="G761">
        <v>0</v>
      </c>
      <c r="H761">
        <v>0</v>
      </c>
      <c r="I761" t="s">
        <v>2397</v>
      </c>
      <c r="J761" t="s">
        <v>2398</v>
      </c>
      <c r="K761" t="s">
        <v>19</v>
      </c>
      <c r="L761" t="s">
        <v>20</v>
      </c>
      <c r="M761">
        <v>95</v>
      </c>
      <c r="N761" t="s">
        <v>21</v>
      </c>
      <c r="O761" t="s">
        <v>22</v>
      </c>
      <c r="P761" t="s">
        <v>23</v>
      </c>
    </row>
    <row r="762" spans="1:16" x14ac:dyDescent="0.3">
      <c r="A762" t="s">
        <v>2399</v>
      </c>
      <c r="B762" t="s">
        <v>2400</v>
      </c>
      <c r="C762" s="1">
        <v>45399</v>
      </c>
      <c r="D762" s="1">
        <v>45399</v>
      </c>
      <c r="E762">
        <v>130</v>
      </c>
      <c r="F762">
        <v>130</v>
      </c>
      <c r="G762">
        <v>0</v>
      </c>
      <c r="H762">
        <v>0</v>
      </c>
      <c r="I762" t="s">
        <v>2401</v>
      </c>
      <c r="J762" t="s">
        <v>2402</v>
      </c>
      <c r="K762" t="s">
        <v>19</v>
      </c>
      <c r="L762" t="s">
        <v>20</v>
      </c>
      <c r="M762">
        <v>95</v>
      </c>
      <c r="N762" t="s">
        <v>21</v>
      </c>
      <c r="O762" t="s">
        <v>22</v>
      </c>
      <c r="P762" t="s">
        <v>23</v>
      </c>
    </row>
    <row r="763" spans="1:16" x14ac:dyDescent="0.3">
      <c r="A763" t="s">
        <v>2403</v>
      </c>
      <c r="B763" t="s">
        <v>2404</v>
      </c>
      <c r="C763" s="1">
        <v>45399</v>
      </c>
      <c r="D763" s="1">
        <v>45399</v>
      </c>
      <c r="E763">
        <v>4000</v>
      </c>
      <c r="F763">
        <v>4000</v>
      </c>
      <c r="G763">
        <v>0</v>
      </c>
      <c r="H763">
        <v>0</v>
      </c>
      <c r="I763" t="s">
        <v>2405</v>
      </c>
      <c r="J763" t="s">
        <v>2406</v>
      </c>
      <c r="K763" t="s">
        <v>19</v>
      </c>
      <c r="L763" t="s">
        <v>20</v>
      </c>
      <c r="M763">
        <v>95</v>
      </c>
      <c r="N763" t="s">
        <v>21</v>
      </c>
      <c r="O763" t="s">
        <v>22</v>
      </c>
      <c r="P763" t="s">
        <v>23</v>
      </c>
    </row>
    <row r="764" spans="1:16" x14ac:dyDescent="0.3">
      <c r="A764" t="s">
        <v>2407</v>
      </c>
      <c r="B764" t="s">
        <v>2408</v>
      </c>
      <c r="C764" s="1">
        <v>45399</v>
      </c>
      <c r="D764" s="1">
        <v>45399</v>
      </c>
      <c r="E764">
        <v>40</v>
      </c>
      <c r="F764">
        <v>40</v>
      </c>
      <c r="G764">
        <v>0</v>
      </c>
      <c r="H764">
        <v>0</v>
      </c>
      <c r="I764" t="s">
        <v>2409</v>
      </c>
      <c r="J764" t="s">
        <v>2410</v>
      </c>
      <c r="K764" t="s">
        <v>19</v>
      </c>
      <c r="L764" t="s">
        <v>20</v>
      </c>
      <c r="M764">
        <v>95</v>
      </c>
      <c r="N764" t="s">
        <v>21</v>
      </c>
      <c r="O764" t="s">
        <v>22</v>
      </c>
      <c r="P764" t="s">
        <v>23</v>
      </c>
    </row>
    <row r="765" spans="1:16" x14ac:dyDescent="0.3">
      <c r="A765" t="s">
        <v>2411</v>
      </c>
      <c r="B765" t="s">
        <v>2412</v>
      </c>
      <c r="C765" s="1">
        <v>45400</v>
      </c>
      <c r="D765" s="1">
        <v>45400</v>
      </c>
      <c r="E765">
        <v>130</v>
      </c>
      <c r="F765">
        <v>130</v>
      </c>
      <c r="G765">
        <v>0</v>
      </c>
      <c r="H765">
        <v>0</v>
      </c>
      <c r="I765" t="s">
        <v>2413</v>
      </c>
      <c r="J765" t="s">
        <v>2414</v>
      </c>
      <c r="K765" t="s">
        <v>19</v>
      </c>
      <c r="L765" t="s">
        <v>20</v>
      </c>
      <c r="M765">
        <v>95</v>
      </c>
      <c r="N765" t="s">
        <v>21</v>
      </c>
      <c r="O765" t="s">
        <v>22</v>
      </c>
      <c r="P765" t="s">
        <v>23</v>
      </c>
    </row>
    <row r="766" spans="1:16" x14ac:dyDescent="0.3">
      <c r="A766" t="s">
        <v>2415</v>
      </c>
      <c r="B766" t="s">
        <v>2416</v>
      </c>
      <c r="C766" s="1">
        <v>45401</v>
      </c>
      <c r="D766" s="1">
        <v>45401</v>
      </c>
      <c r="E766">
        <v>500</v>
      </c>
      <c r="F766">
        <v>500</v>
      </c>
      <c r="G766">
        <v>0</v>
      </c>
      <c r="H766">
        <v>0</v>
      </c>
      <c r="I766" t="s">
        <v>108</v>
      </c>
      <c r="J766" t="s">
        <v>109</v>
      </c>
      <c r="K766" t="s">
        <v>19</v>
      </c>
      <c r="L766" t="s">
        <v>110</v>
      </c>
      <c r="M766">
        <v>100</v>
      </c>
      <c r="N766" t="s">
        <v>21</v>
      </c>
      <c r="O766" t="s">
        <v>22</v>
      </c>
      <c r="P766" t="s">
        <v>23</v>
      </c>
    </row>
    <row r="767" spans="1:16" x14ac:dyDescent="0.3">
      <c r="A767" t="s">
        <v>2417</v>
      </c>
      <c r="B767" t="s">
        <v>2418</v>
      </c>
      <c r="C767" s="1">
        <v>45401</v>
      </c>
      <c r="D767" s="1">
        <v>45401</v>
      </c>
      <c r="E767">
        <v>400</v>
      </c>
      <c r="F767">
        <v>400</v>
      </c>
      <c r="G767">
        <v>0</v>
      </c>
      <c r="H767">
        <v>0</v>
      </c>
      <c r="I767" t="s">
        <v>2419</v>
      </c>
      <c r="J767" t="s">
        <v>2420</v>
      </c>
      <c r="K767" t="s">
        <v>19</v>
      </c>
      <c r="L767" t="s">
        <v>20</v>
      </c>
      <c r="M767">
        <v>95</v>
      </c>
      <c r="N767" t="s">
        <v>21</v>
      </c>
      <c r="O767" t="s">
        <v>22</v>
      </c>
      <c r="P767" t="s">
        <v>23</v>
      </c>
    </row>
    <row r="768" spans="1:16" x14ac:dyDescent="0.3">
      <c r="A768" t="s">
        <v>2421</v>
      </c>
      <c r="B768" t="s">
        <v>2422</v>
      </c>
      <c r="C768" s="1">
        <v>45401</v>
      </c>
      <c r="D768" s="1">
        <v>45401</v>
      </c>
      <c r="E768">
        <v>20</v>
      </c>
      <c r="F768">
        <v>20</v>
      </c>
      <c r="G768">
        <v>0</v>
      </c>
      <c r="H768">
        <v>0</v>
      </c>
      <c r="I768" t="s">
        <v>2423</v>
      </c>
      <c r="J768" t="s">
        <v>2424</v>
      </c>
      <c r="K768" t="s">
        <v>19</v>
      </c>
      <c r="L768" t="s">
        <v>20</v>
      </c>
      <c r="M768">
        <v>95</v>
      </c>
      <c r="N768" t="s">
        <v>21</v>
      </c>
      <c r="O768" t="s">
        <v>22</v>
      </c>
      <c r="P768" t="s">
        <v>23</v>
      </c>
    </row>
    <row r="769" spans="1:16" x14ac:dyDescent="0.3">
      <c r="A769" t="s">
        <v>2425</v>
      </c>
      <c r="B769" t="s">
        <v>2426</v>
      </c>
      <c r="C769" s="1">
        <v>45401</v>
      </c>
      <c r="D769" s="1">
        <v>45401</v>
      </c>
      <c r="E769">
        <v>10</v>
      </c>
      <c r="F769">
        <v>10</v>
      </c>
      <c r="G769">
        <v>0</v>
      </c>
      <c r="H769">
        <v>0</v>
      </c>
      <c r="I769" t="s">
        <v>2427</v>
      </c>
      <c r="J769" t="s">
        <v>2428</v>
      </c>
      <c r="K769" t="s">
        <v>19</v>
      </c>
      <c r="L769" t="s">
        <v>20</v>
      </c>
      <c r="M769">
        <v>95</v>
      </c>
      <c r="N769" t="s">
        <v>21</v>
      </c>
      <c r="O769" t="s">
        <v>22</v>
      </c>
      <c r="P769" t="s">
        <v>23</v>
      </c>
    </row>
    <row r="770" spans="1:16" x14ac:dyDescent="0.3">
      <c r="A770" t="s">
        <v>2429</v>
      </c>
      <c r="B770" t="s">
        <v>2430</v>
      </c>
      <c r="C770" s="1">
        <v>45402</v>
      </c>
      <c r="D770" s="1">
        <v>45416</v>
      </c>
      <c r="E770">
        <v>1450</v>
      </c>
      <c r="F770">
        <v>1380</v>
      </c>
      <c r="G770">
        <v>-70</v>
      </c>
      <c r="H770">
        <v>14</v>
      </c>
      <c r="I770" t="s">
        <v>108</v>
      </c>
      <c r="J770" t="s">
        <v>109</v>
      </c>
      <c r="K770" t="s">
        <v>278</v>
      </c>
      <c r="L770" t="s">
        <v>2431</v>
      </c>
      <c r="M770">
        <v>80</v>
      </c>
      <c r="N770" t="s">
        <v>93</v>
      </c>
      <c r="O770" t="s">
        <v>22</v>
      </c>
      <c r="P770" t="s">
        <v>23</v>
      </c>
    </row>
    <row r="771" spans="1:16" x14ac:dyDescent="0.3">
      <c r="A771" t="s">
        <v>2432</v>
      </c>
      <c r="B771" t="s">
        <v>2433</v>
      </c>
      <c r="C771" s="1">
        <v>45402</v>
      </c>
      <c r="D771" s="1">
        <v>45405</v>
      </c>
      <c r="E771">
        <v>130</v>
      </c>
      <c r="F771">
        <v>130</v>
      </c>
      <c r="G771">
        <v>0</v>
      </c>
      <c r="H771">
        <v>3</v>
      </c>
      <c r="I771" t="s">
        <v>358</v>
      </c>
      <c r="J771" t="s">
        <v>359</v>
      </c>
      <c r="K771" t="s">
        <v>235</v>
      </c>
      <c r="L771" t="s">
        <v>2434</v>
      </c>
      <c r="M771">
        <v>70</v>
      </c>
      <c r="N771" t="s">
        <v>93</v>
      </c>
      <c r="O771" t="s">
        <v>219</v>
      </c>
      <c r="P771" t="s">
        <v>220</v>
      </c>
    </row>
    <row r="772" spans="1:16" x14ac:dyDescent="0.3">
      <c r="A772" t="s">
        <v>2435</v>
      </c>
      <c r="B772" t="s">
        <v>2436</v>
      </c>
      <c r="C772" s="1">
        <v>45402</v>
      </c>
      <c r="D772" s="1">
        <v>45402</v>
      </c>
      <c r="E772">
        <v>200</v>
      </c>
      <c r="F772">
        <v>200</v>
      </c>
      <c r="G772">
        <v>0</v>
      </c>
      <c r="H772">
        <v>0</v>
      </c>
      <c r="I772" t="s">
        <v>2437</v>
      </c>
      <c r="J772" t="s">
        <v>2438</v>
      </c>
      <c r="K772" t="s">
        <v>19</v>
      </c>
      <c r="L772" t="s">
        <v>20</v>
      </c>
      <c r="M772">
        <v>95</v>
      </c>
      <c r="N772" t="s">
        <v>21</v>
      </c>
      <c r="O772" t="s">
        <v>22</v>
      </c>
      <c r="P772" t="s">
        <v>23</v>
      </c>
    </row>
    <row r="773" spans="1:16" x14ac:dyDescent="0.3">
      <c r="A773" t="s">
        <v>2439</v>
      </c>
      <c r="B773" t="s">
        <v>2440</v>
      </c>
      <c r="C773" s="1">
        <v>45402</v>
      </c>
      <c r="D773" s="1">
        <v>45402</v>
      </c>
      <c r="E773">
        <v>60</v>
      </c>
      <c r="F773">
        <v>60</v>
      </c>
      <c r="G773">
        <v>0</v>
      </c>
      <c r="H773">
        <v>0</v>
      </c>
      <c r="I773" t="s">
        <v>2441</v>
      </c>
      <c r="J773" t="s">
        <v>2442</v>
      </c>
      <c r="K773" t="s">
        <v>19</v>
      </c>
      <c r="L773" t="s">
        <v>20</v>
      </c>
      <c r="M773">
        <v>95</v>
      </c>
      <c r="N773" t="s">
        <v>21</v>
      </c>
      <c r="O773" t="s">
        <v>22</v>
      </c>
      <c r="P773" t="s">
        <v>23</v>
      </c>
    </row>
    <row r="774" spans="1:16" x14ac:dyDescent="0.3">
      <c r="A774" t="s">
        <v>2443</v>
      </c>
      <c r="B774" t="s">
        <v>2444</v>
      </c>
      <c r="C774" s="1">
        <v>45402</v>
      </c>
      <c r="D774" s="1">
        <v>45402</v>
      </c>
      <c r="E774">
        <v>10</v>
      </c>
      <c r="F774">
        <v>10</v>
      </c>
      <c r="G774">
        <v>0</v>
      </c>
      <c r="H774">
        <v>0</v>
      </c>
      <c r="I774" t="s">
        <v>2445</v>
      </c>
      <c r="J774" t="s">
        <v>2446</v>
      </c>
      <c r="K774" t="s">
        <v>19</v>
      </c>
      <c r="L774" t="s">
        <v>20</v>
      </c>
      <c r="M774">
        <v>95</v>
      </c>
      <c r="N774" t="s">
        <v>21</v>
      </c>
      <c r="O774" t="s">
        <v>22</v>
      </c>
      <c r="P774" t="s">
        <v>23</v>
      </c>
    </row>
    <row r="775" spans="1:16" x14ac:dyDescent="0.3">
      <c r="A775" t="s">
        <v>2447</v>
      </c>
      <c r="B775" t="s">
        <v>2448</v>
      </c>
      <c r="C775" s="1">
        <v>45403</v>
      </c>
      <c r="D775" s="1">
        <v>45403</v>
      </c>
      <c r="E775">
        <v>780</v>
      </c>
      <c r="F775">
        <v>780</v>
      </c>
      <c r="G775">
        <v>0</v>
      </c>
      <c r="H775">
        <v>0</v>
      </c>
      <c r="I775" t="s">
        <v>108</v>
      </c>
      <c r="J775" t="s">
        <v>109</v>
      </c>
      <c r="K775" t="s">
        <v>19</v>
      </c>
      <c r="L775" t="s">
        <v>110</v>
      </c>
      <c r="M775">
        <v>100</v>
      </c>
      <c r="N775" t="s">
        <v>21</v>
      </c>
      <c r="O775" t="s">
        <v>22</v>
      </c>
      <c r="P775" t="s">
        <v>23</v>
      </c>
    </row>
    <row r="776" spans="1:16" x14ac:dyDescent="0.3">
      <c r="A776" t="s">
        <v>2449</v>
      </c>
      <c r="B776" t="s">
        <v>2450</v>
      </c>
      <c r="C776" s="1">
        <v>45404</v>
      </c>
      <c r="D776" s="1">
        <v>45404</v>
      </c>
      <c r="E776">
        <v>2970</v>
      </c>
      <c r="F776">
        <v>2970</v>
      </c>
      <c r="G776">
        <v>0</v>
      </c>
      <c r="H776">
        <v>0</v>
      </c>
      <c r="I776" t="s">
        <v>108</v>
      </c>
      <c r="J776" t="s">
        <v>109</v>
      </c>
      <c r="K776" t="s">
        <v>19</v>
      </c>
      <c r="L776" t="s">
        <v>110</v>
      </c>
      <c r="M776">
        <v>100</v>
      </c>
      <c r="N776" t="s">
        <v>21</v>
      </c>
      <c r="O776" t="s">
        <v>22</v>
      </c>
      <c r="P776" t="s">
        <v>23</v>
      </c>
    </row>
    <row r="777" spans="1:16" x14ac:dyDescent="0.3">
      <c r="A777" t="s">
        <v>2451</v>
      </c>
      <c r="B777" t="s">
        <v>2452</v>
      </c>
      <c r="C777" s="1">
        <v>45404</v>
      </c>
      <c r="D777" s="1">
        <v>45406</v>
      </c>
      <c r="E777">
        <v>130</v>
      </c>
      <c r="F777">
        <v>130</v>
      </c>
      <c r="G777">
        <v>0</v>
      </c>
      <c r="H777">
        <v>2</v>
      </c>
      <c r="I777" t="s">
        <v>358</v>
      </c>
      <c r="J777" t="s">
        <v>359</v>
      </c>
      <c r="K777" t="s">
        <v>235</v>
      </c>
      <c r="L777" t="s">
        <v>236</v>
      </c>
      <c r="M777">
        <v>75</v>
      </c>
      <c r="N777" t="s">
        <v>93</v>
      </c>
      <c r="O777" t="s">
        <v>219</v>
      </c>
      <c r="P777" t="s">
        <v>220</v>
      </c>
    </row>
    <row r="778" spans="1:16" x14ac:dyDescent="0.3">
      <c r="A778" t="s">
        <v>2453</v>
      </c>
      <c r="B778" t="s">
        <v>2454</v>
      </c>
      <c r="C778" s="1">
        <v>45404</v>
      </c>
      <c r="D778" s="1">
        <v>45404</v>
      </c>
      <c r="E778">
        <v>380</v>
      </c>
      <c r="F778">
        <v>380</v>
      </c>
      <c r="G778">
        <v>0</v>
      </c>
      <c r="H778">
        <v>0</v>
      </c>
      <c r="I778" t="s">
        <v>81</v>
      </c>
      <c r="J778" t="s">
        <v>82</v>
      </c>
      <c r="K778" t="s">
        <v>19</v>
      </c>
      <c r="L778" t="s">
        <v>20</v>
      </c>
      <c r="M778">
        <v>95</v>
      </c>
      <c r="N778" t="s">
        <v>21</v>
      </c>
      <c r="O778" t="s">
        <v>22</v>
      </c>
      <c r="P778" t="s">
        <v>23</v>
      </c>
    </row>
    <row r="779" spans="1:16" x14ac:dyDescent="0.3">
      <c r="A779" t="s">
        <v>2455</v>
      </c>
      <c r="B779" t="s">
        <v>2456</v>
      </c>
      <c r="C779" s="1">
        <v>45404</v>
      </c>
      <c r="D779" s="1">
        <v>45404</v>
      </c>
      <c r="E779">
        <v>15</v>
      </c>
      <c r="F779">
        <v>15</v>
      </c>
      <c r="G779">
        <v>0</v>
      </c>
      <c r="H779">
        <v>0</v>
      </c>
      <c r="I779" t="s">
        <v>2457</v>
      </c>
      <c r="J779" t="s">
        <v>2458</v>
      </c>
      <c r="K779" t="s">
        <v>19</v>
      </c>
      <c r="L779" t="s">
        <v>20</v>
      </c>
      <c r="M779">
        <v>95</v>
      </c>
      <c r="N779" t="s">
        <v>21</v>
      </c>
      <c r="O779" t="s">
        <v>22</v>
      </c>
      <c r="P779" t="s">
        <v>23</v>
      </c>
    </row>
    <row r="780" spans="1:16" x14ac:dyDescent="0.3">
      <c r="A780" t="s">
        <v>2459</v>
      </c>
      <c r="B780" t="s">
        <v>2460</v>
      </c>
      <c r="C780" s="1">
        <v>45404</v>
      </c>
      <c r="D780" s="1">
        <v>45404</v>
      </c>
      <c r="E780">
        <v>10</v>
      </c>
      <c r="F780">
        <v>10</v>
      </c>
      <c r="G780">
        <v>0</v>
      </c>
      <c r="H780">
        <v>0</v>
      </c>
      <c r="I780" t="s">
        <v>81</v>
      </c>
      <c r="J780" t="s">
        <v>82</v>
      </c>
      <c r="K780" t="s">
        <v>19</v>
      </c>
      <c r="L780" t="s">
        <v>20</v>
      </c>
      <c r="M780">
        <v>95</v>
      </c>
      <c r="N780" t="s">
        <v>21</v>
      </c>
      <c r="O780" t="s">
        <v>22</v>
      </c>
      <c r="P780" t="s">
        <v>23</v>
      </c>
    </row>
    <row r="781" spans="1:16" x14ac:dyDescent="0.3">
      <c r="A781" t="s">
        <v>2461</v>
      </c>
      <c r="B781" t="s">
        <v>2462</v>
      </c>
      <c r="C781" s="1">
        <v>45405</v>
      </c>
      <c r="D781" s="1">
        <v>45405</v>
      </c>
      <c r="E781">
        <v>300</v>
      </c>
      <c r="F781">
        <v>300</v>
      </c>
      <c r="G781">
        <v>0</v>
      </c>
      <c r="H781">
        <v>0</v>
      </c>
      <c r="I781" t="s">
        <v>108</v>
      </c>
      <c r="J781" t="s">
        <v>109</v>
      </c>
      <c r="K781" t="s">
        <v>19</v>
      </c>
      <c r="L781" t="s">
        <v>110</v>
      </c>
      <c r="M781">
        <v>100</v>
      </c>
      <c r="N781" t="s">
        <v>21</v>
      </c>
      <c r="O781" t="s">
        <v>22</v>
      </c>
      <c r="P781" t="s">
        <v>23</v>
      </c>
    </row>
    <row r="782" spans="1:16" x14ac:dyDescent="0.3">
      <c r="A782" t="s">
        <v>2463</v>
      </c>
      <c r="B782" t="s">
        <v>2464</v>
      </c>
      <c r="C782" s="1">
        <v>45405</v>
      </c>
      <c r="D782" s="1">
        <v>45405</v>
      </c>
      <c r="E782">
        <v>130</v>
      </c>
      <c r="F782">
        <v>130</v>
      </c>
      <c r="G782">
        <v>0</v>
      </c>
      <c r="H782">
        <v>0</v>
      </c>
      <c r="I782" t="s">
        <v>358</v>
      </c>
      <c r="J782" t="s">
        <v>359</v>
      </c>
      <c r="K782" t="s">
        <v>19</v>
      </c>
      <c r="L782" t="s">
        <v>20</v>
      </c>
      <c r="M782">
        <v>95</v>
      </c>
      <c r="N782" t="s">
        <v>21</v>
      </c>
      <c r="O782" t="s">
        <v>219</v>
      </c>
      <c r="P782" t="s">
        <v>220</v>
      </c>
    </row>
    <row r="783" spans="1:16" x14ac:dyDescent="0.3">
      <c r="A783" t="s">
        <v>2465</v>
      </c>
      <c r="B783" t="s">
        <v>2466</v>
      </c>
      <c r="C783" s="1">
        <v>45405</v>
      </c>
      <c r="D783" s="1">
        <v>45406</v>
      </c>
      <c r="E783">
        <v>130</v>
      </c>
      <c r="F783">
        <v>130</v>
      </c>
      <c r="G783">
        <v>0</v>
      </c>
      <c r="H783">
        <v>1</v>
      </c>
      <c r="I783" t="s">
        <v>358</v>
      </c>
      <c r="J783" t="s">
        <v>359</v>
      </c>
      <c r="K783" t="s">
        <v>235</v>
      </c>
      <c r="L783" t="s">
        <v>265</v>
      </c>
      <c r="M783">
        <v>80</v>
      </c>
      <c r="N783" t="s">
        <v>93</v>
      </c>
      <c r="O783" t="s">
        <v>219</v>
      </c>
      <c r="P783" t="s">
        <v>220</v>
      </c>
    </row>
    <row r="784" spans="1:16" x14ac:dyDescent="0.3">
      <c r="A784" t="s">
        <v>2467</v>
      </c>
      <c r="B784" t="s">
        <v>2468</v>
      </c>
      <c r="C784" s="1">
        <v>45405</v>
      </c>
      <c r="D784" s="1">
        <v>45405</v>
      </c>
      <c r="E784">
        <v>400</v>
      </c>
      <c r="F784">
        <v>400</v>
      </c>
      <c r="G784">
        <v>0</v>
      </c>
      <c r="H784">
        <v>0</v>
      </c>
      <c r="I784" t="s">
        <v>2469</v>
      </c>
      <c r="J784" t="s">
        <v>2470</v>
      </c>
      <c r="K784" t="s">
        <v>19</v>
      </c>
      <c r="L784" t="s">
        <v>20</v>
      </c>
      <c r="M784">
        <v>95</v>
      </c>
      <c r="N784" t="s">
        <v>21</v>
      </c>
      <c r="O784" t="s">
        <v>22</v>
      </c>
      <c r="P784" t="s">
        <v>23</v>
      </c>
    </row>
    <row r="785" spans="1:16" x14ac:dyDescent="0.3">
      <c r="A785" t="s">
        <v>2471</v>
      </c>
      <c r="B785" t="s">
        <v>2472</v>
      </c>
      <c r="C785" s="1">
        <v>45406</v>
      </c>
      <c r="D785" s="1">
        <v>45406</v>
      </c>
      <c r="E785">
        <v>1570</v>
      </c>
      <c r="F785">
        <v>1570</v>
      </c>
      <c r="G785">
        <v>0</v>
      </c>
      <c r="H785">
        <v>0</v>
      </c>
      <c r="I785" t="s">
        <v>108</v>
      </c>
      <c r="J785" t="s">
        <v>109</v>
      </c>
      <c r="K785" t="s">
        <v>19</v>
      </c>
      <c r="L785" t="s">
        <v>110</v>
      </c>
      <c r="M785">
        <v>100</v>
      </c>
      <c r="N785" t="s">
        <v>21</v>
      </c>
      <c r="O785" t="s">
        <v>22</v>
      </c>
      <c r="P785" t="s">
        <v>23</v>
      </c>
    </row>
    <row r="786" spans="1:16" x14ac:dyDescent="0.3">
      <c r="A786" t="s">
        <v>2473</v>
      </c>
      <c r="B786" t="s">
        <v>2474</v>
      </c>
      <c r="C786" s="1">
        <v>45406</v>
      </c>
      <c r="D786" s="1">
        <v>45406</v>
      </c>
      <c r="E786">
        <v>1</v>
      </c>
      <c r="F786">
        <v>1</v>
      </c>
      <c r="G786">
        <v>0</v>
      </c>
      <c r="H786">
        <v>0</v>
      </c>
      <c r="I786" t="s">
        <v>2475</v>
      </c>
      <c r="J786" t="s">
        <v>2476</v>
      </c>
      <c r="K786" t="s">
        <v>19</v>
      </c>
      <c r="L786" t="s">
        <v>20</v>
      </c>
      <c r="M786">
        <v>95</v>
      </c>
      <c r="N786" t="s">
        <v>21</v>
      </c>
      <c r="O786" t="s">
        <v>22</v>
      </c>
      <c r="P786" t="s">
        <v>23</v>
      </c>
    </row>
    <row r="787" spans="1:16" x14ac:dyDescent="0.3">
      <c r="A787" t="s">
        <v>2477</v>
      </c>
      <c r="B787" t="s">
        <v>2478</v>
      </c>
      <c r="C787" s="1">
        <v>45406</v>
      </c>
      <c r="D787" s="1">
        <v>45406</v>
      </c>
      <c r="E787">
        <v>1</v>
      </c>
      <c r="F787">
        <v>1</v>
      </c>
      <c r="G787">
        <v>0</v>
      </c>
      <c r="H787">
        <v>0</v>
      </c>
      <c r="I787" t="s">
        <v>2475</v>
      </c>
      <c r="J787" t="s">
        <v>2476</v>
      </c>
      <c r="K787" t="s">
        <v>19</v>
      </c>
      <c r="L787" t="s">
        <v>20</v>
      </c>
      <c r="M787">
        <v>95</v>
      </c>
      <c r="N787" t="s">
        <v>21</v>
      </c>
      <c r="O787" t="s">
        <v>22</v>
      </c>
      <c r="P787" t="s">
        <v>23</v>
      </c>
    </row>
    <row r="788" spans="1:16" x14ac:dyDescent="0.3">
      <c r="A788" t="s">
        <v>2479</v>
      </c>
      <c r="B788" t="s">
        <v>2480</v>
      </c>
      <c r="C788" s="1">
        <v>45406</v>
      </c>
      <c r="D788" s="1">
        <v>45408</v>
      </c>
      <c r="E788">
        <v>130</v>
      </c>
      <c r="F788">
        <v>130</v>
      </c>
      <c r="G788">
        <v>0</v>
      </c>
      <c r="H788">
        <v>2</v>
      </c>
      <c r="I788" t="s">
        <v>358</v>
      </c>
      <c r="J788" t="s">
        <v>359</v>
      </c>
      <c r="K788" t="s">
        <v>235</v>
      </c>
      <c r="L788" t="s">
        <v>236</v>
      </c>
      <c r="M788">
        <v>75</v>
      </c>
      <c r="N788" t="s">
        <v>93</v>
      </c>
      <c r="O788" t="s">
        <v>219</v>
      </c>
      <c r="P788" t="s">
        <v>220</v>
      </c>
    </row>
    <row r="789" spans="1:16" x14ac:dyDescent="0.3">
      <c r="A789" t="s">
        <v>2481</v>
      </c>
      <c r="B789" t="s">
        <v>2482</v>
      </c>
      <c r="C789" s="1">
        <v>45407</v>
      </c>
      <c r="D789" s="1">
        <v>45407</v>
      </c>
      <c r="E789">
        <v>1200</v>
      </c>
      <c r="F789">
        <v>1200</v>
      </c>
      <c r="G789">
        <v>0</v>
      </c>
      <c r="H789">
        <v>0</v>
      </c>
      <c r="I789" t="s">
        <v>108</v>
      </c>
      <c r="J789" t="s">
        <v>109</v>
      </c>
      <c r="K789" t="s">
        <v>19</v>
      </c>
      <c r="L789" t="s">
        <v>110</v>
      </c>
      <c r="M789">
        <v>100</v>
      </c>
      <c r="N789" t="s">
        <v>21</v>
      </c>
      <c r="O789" t="s">
        <v>22</v>
      </c>
      <c r="P789" t="s">
        <v>23</v>
      </c>
    </row>
    <row r="790" spans="1:16" x14ac:dyDescent="0.3">
      <c r="A790" t="s">
        <v>2483</v>
      </c>
      <c r="B790" t="s">
        <v>2484</v>
      </c>
      <c r="C790" s="1">
        <v>45408</v>
      </c>
      <c r="D790" s="1">
        <v>45408</v>
      </c>
      <c r="E790">
        <v>1160</v>
      </c>
      <c r="F790">
        <v>1218</v>
      </c>
      <c r="G790">
        <v>58</v>
      </c>
      <c r="H790">
        <v>0</v>
      </c>
      <c r="I790" t="s">
        <v>108</v>
      </c>
      <c r="J790" t="s">
        <v>109</v>
      </c>
      <c r="K790" t="s">
        <v>278</v>
      </c>
      <c r="L790" t="s">
        <v>2485</v>
      </c>
      <c r="M790">
        <v>80</v>
      </c>
      <c r="N790" t="s">
        <v>93</v>
      </c>
      <c r="O790" t="s">
        <v>22</v>
      </c>
      <c r="P790" t="s">
        <v>23</v>
      </c>
    </row>
    <row r="791" spans="1:16" x14ac:dyDescent="0.3">
      <c r="A791" t="s">
        <v>2486</v>
      </c>
      <c r="B791" t="s">
        <v>2487</v>
      </c>
      <c r="C791" s="1">
        <v>45408</v>
      </c>
      <c r="D791" s="1">
        <v>45408</v>
      </c>
      <c r="E791">
        <v>250</v>
      </c>
      <c r="F791">
        <v>250</v>
      </c>
      <c r="G791">
        <v>0</v>
      </c>
      <c r="H791">
        <v>0</v>
      </c>
      <c r="I791" t="s">
        <v>2488</v>
      </c>
      <c r="J791" t="s">
        <v>2489</v>
      </c>
      <c r="K791" t="s">
        <v>19</v>
      </c>
      <c r="L791" t="s">
        <v>20</v>
      </c>
      <c r="M791">
        <v>95</v>
      </c>
      <c r="N791" t="s">
        <v>21</v>
      </c>
      <c r="O791" t="s">
        <v>22</v>
      </c>
      <c r="P791" t="s">
        <v>23</v>
      </c>
    </row>
    <row r="792" spans="1:16" x14ac:dyDescent="0.3">
      <c r="A792" t="s">
        <v>2490</v>
      </c>
      <c r="B792" t="s">
        <v>2491</v>
      </c>
      <c r="C792" s="1">
        <v>45408</v>
      </c>
      <c r="D792" s="1">
        <v>45408</v>
      </c>
      <c r="E792">
        <v>130</v>
      </c>
      <c r="F792">
        <v>130</v>
      </c>
      <c r="G792">
        <v>0</v>
      </c>
      <c r="H792">
        <v>0</v>
      </c>
      <c r="I792" t="s">
        <v>358</v>
      </c>
      <c r="J792" t="s">
        <v>359</v>
      </c>
      <c r="K792" t="s">
        <v>19</v>
      </c>
      <c r="L792" t="s">
        <v>20</v>
      </c>
      <c r="M792">
        <v>95</v>
      </c>
      <c r="N792" t="s">
        <v>21</v>
      </c>
      <c r="O792" t="s">
        <v>219</v>
      </c>
      <c r="P792" t="s">
        <v>220</v>
      </c>
    </row>
    <row r="793" spans="1:16" x14ac:dyDescent="0.3">
      <c r="A793" t="s">
        <v>2492</v>
      </c>
      <c r="B793" t="s">
        <v>2493</v>
      </c>
      <c r="C793" s="1">
        <v>45408</v>
      </c>
      <c r="D793" s="1">
        <v>45408</v>
      </c>
      <c r="E793">
        <v>260</v>
      </c>
      <c r="F793">
        <v>260</v>
      </c>
      <c r="G793">
        <v>0</v>
      </c>
      <c r="H793">
        <v>0</v>
      </c>
      <c r="I793" t="s">
        <v>358</v>
      </c>
      <c r="J793" t="s">
        <v>359</v>
      </c>
      <c r="K793" t="s">
        <v>19</v>
      </c>
      <c r="L793" t="s">
        <v>20</v>
      </c>
      <c r="M793">
        <v>95</v>
      </c>
      <c r="N793" t="s">
        <v>21</v>
      </c>
      <c r="O793" t="s">
        <v>22</v>
      </c>
      <c r="P793" t="s">
        <v>23</v>
      </c>
    </row>
    <row r="794" spans="1:16" x14ac:dyDescent="0.3">
      <c r="A794" t="s">
        <v>2494</v>
      </c>
      <c r="B794" t="s">
        <v>2495</v>
      </c>
      <c r="C794" s="1">
        <v>45409</v>
      </c>
      <c r="D794" s="1">
        <v>45409</v>
      </c>
      <c r="E794">
        <v>1060</v>
      </c>
      <c r="F794">
        <v>1060</v>
      </c>
      <c r="G794">
        <v>0</v>
      </c>
      <c r="H794">
        <v>0</v>
      </c>
      <c r="I794" t="s">
        <v>108</v>
      </c>
      <c r="J794" t="s">
        <v>109</v>
      </c>
      <c r="K794" t="s">
        <v>19</v>
      </c>
      <c r="L794" t="s">
        <v>110</v>
      </c>
      <c r="M794">
        <v>100</v>
      </c>
      <c r="N794" t="s">
        <v>21</v>
      </c>
      <c r="O794" t="s">
        <v>22</v>
      </c>
      <c r="P794" t="s">
        <v>23</v>
      </c>
    </row>
    <row r="795" spans="1:16" x14ac:dyDescent="0.3">
      <c r="A795" t="s">
        <v>2496</v>
      </c>
      <c r="B795" t="s">
        <v>2497</v>
      </c>
      <c r="C795" s="1">
        <v>45409</v>
      </c>
      <c r="D795" s="1">
        <v>45409</v>
      </c>
      <c r="E795">
        <v>1</v>
      </c>
      <c r="F795">
        <v>1</v>
      </c>
      <c r="G795">
        <v>0</v>
      </c>
      <c r="H795">
        <v>0</v>
      </c>
      <c r="I795" t="s">
        <v>2498</v>
      </c>
      <c r="J795" t="s">
        <v>2498</v>
      </c>
      <c r="K795" t="s">
        <v>19</v>
      </c>
      <c r="L795" t="s">
        <v>20</v>
      </c>
      <c r="M795">
        <v>95</v>
      </c>
      <c r="N795" t="s">
        <v>21</v>
      </c>
      <c r="O795" t="s">
        <v>22</v>
      </c>
      <c r="P795" t="s">
        <v>23</v>
      </c>
    </row>
    <row r="796" spans="1:16" x14ac:dyDescent="0.3">
      <c r="A796" t="s">
        <v>2499</v>
      </c>
      <c r="B796" t="s">
        <v>2500</v>
      </c>
      <c r="C796" s="1">
        <v>45409</v>
      </c>
      <c r="D796" s="1">
        <v>45409</v>
      </c>
      <c r="E796">
        <v>7500</v>
      </c>
      <c r="F796">
        <v>7500</v>
      </c>
      <c r="G796">
        <v>0</v>
      </c>
      <c r="H796">
        <v>0</v>
      </c>
      <c r="I796" t="s">
        <v>2498</v>
      </c>
      <c r="J796" t="s">
        <v>2498</v>
      </c>
      <c r="K796" t="s">
        <v>19</v>
      </c>
      <c r="L796" t="s">
        <v>20</v>
      </c>
      <c r="M796">
        <v>95</v>
      </c>
      <c r="N796" t="s">
        <v>21</v>
      </c>
      <c r="O796" t="s">
        <v>22</v>
      </c>
      <c r="P796" t="s">
        <v>23</v>
      </c>
    </row>
    <row r="797" spans="1:16" x14ac:dyDescent="0.3">
      <c r="A797" t="s">
        <v>2501</v>
      </c>
      <c r="B797" t="s">
        <v>2502</v>
      </c>
      <c r="C797" s="1">
        <v>45409</v>
      </c>
      <c r="D797" s="1">
        <v>45409</v>
      </c>
      <c r="E797">
        <v>12</v>
      </c>
      <c r="F797">
        <v>12</v>
      </c>
      <c r="G797">
        <v>0</v>
      </c>
      <c r="H797">
        <v>0</v>
      </c>
      <c r="I797" t="s">
        <v>358</v>
      </c>
      <c r="J797" t="s">
        <v>359</v>
      </c>
      <c r="K797" t="s">
        <v>19</v>
      </c>
      <c r="L797" t="s">
        <v>20</v>
      </c>
      <c r="M797">
        <v>95</v>
      </c>
      <c r="N797" t="s">
        <v>21</v>
      </c>
      <c r="O797" t="s">
        <v>22</v>
      </c>
      <c r="P797" t="s">
        <v>23</v>
      </c>
    </row>
    <row r="798" spans="1:16" x14ac:dyDescent="0.3">
      <c r="A798" t="s">
        <v>2503</v>
      </c>
      <c r="B798" t="s">
        <v>2504</v>
      </c>
      <c r="C798" s="1">
        <v>45409</v>
      </c>
      <c r="D798" s="1">
        <v>45409</v>
      </c>
      <c r="E798">
        <v>400</v>
      </c>
      <c r="F798">
        <v>400</v>
      </c>
      <c r="G798">
        <v>0</v>
      </c>
      <c r="H798">
        <v>0</v>
      </c>
      <c r="I798" t="s">
        <v>2505</v>
      </c>
      <c r="J798" t="s">
        <v>2506</v>
      </c>
      <c r="K798" t="s">
        <v>19</v>
      </c>
      <c r="L798" t="s">
        <v>20</v>
      </c>
      <c r="M798">
        <v>95</v>
      </c>
      <c r="N798" t="s">
        <v>21</v>
      </c>
      <c r="O798" t="s">
        <v>22</v>
      </c>
      <c r="P798" t="s">
        <v>23</v>
      </c>
    </row>
    <row r="799" spans="1:16" x14ac:dyDescent="0.3">
      <c r="A799" t="s">
        <v>2507</v>
      </c>
      <c r="B799" t="s">
        <v>2508</v>
      </c>
      <c r="C799" s="1">
        <v>45410</v>
      </c>
      <c r="D799" s="1">
        <v>45410</v>
      </c>
      <c r="E799">
        <v>1100</v>
      </c>
      <c r="F799">
        <v>1100</v>
      </c>
      <c r="G799">
        <v>0</v>
      </c>
      <c r="H799">
        <v>0</v>
      </c>
      <c r="I799" t="s">
        <v>108</v>
      </c>
      <c r="J799" t="s">
        <v>109</v>
      </c>
      <c r="K799" t="s">
        <v>19</v>
      </c>
      <c r="L799" t="s">
        <v>110</v>
      </c>
      <c r="M799">
        <v>100</v>
      </c>
      <c r="N799" t="s">
        <v>21</v>
      </c>
      <c r="O799" t="s">
        <v>22</v>
      </c>
      <c r="P799" t="s">
        <v>23</v>
      </c>
    </row>
    <row r="800" spans="1:16" x14ac:dyDescent="0.3">
      <c r="A800" t="s">
        <v>2509</v>
      </c>
      <c r="B800" t="s">
        <v>2510</v>
      </c>
      <c r="C800" s="1">
        <v>45410</v>
      </c>
      <c r="D800" s="1">
        <v>45410</v>
      </c>
      <c r="E800">
        <v>50</v>
      </c>
      <c r="F800">
        <v>50</v>
      </c>
      <c r="G800">
        <v>0</v>
      </c>
      <c r="H800">
        <v>0</v>
      </c>
      <c r="I800" t="s">
        <v>2511</v>
      </c>
      <c r="J800" t="s">
        <v>2512</v>
      </c>
      <c r="K800" t="s">
        <v>91</v>
      </c>
      <c r="L800" t="s">
        <v>92</v>
      </c>
      <c r="M800">
        <v>85</v>
      </c>
      <c r="N800" t="s">
        <v>93</v>
      </c>
      <c r="O800" t="s">
        <v>219</v>
      </c>
      <c r="P800" t="s">
        <v>220</v>
      </c>
    </row>
    <row r="801" spans="1:16" x14ac:dyDescent="0.3">
      <c r="A801" t="s">
        <v>2513</v>
      </c>
      <c r="B801" t="s">
        <v>2514</v>
      </c>
      <c r="C801" s="1">
        <v>45410</v>
      </c>
      <c r="D801" s="1">
        <v>45410</v>
      </c>
      <c r="E801">
        <v>10</v>
      </c>
      <c r="F801">
        <v>10</v>
      </c>
      <c r="G801">
        <v>0</v>
      </c>
      <c r="H801">
        <v>0</v>
      </c>
      <c r="I801" t="s">
        <v>358</v>
      </c>
      <c r="J801" t="s">
        <v>359</v>
      </c>
      <c r="K801" t="s">
        <v>19</v>
      </c>
      <c r="L801" t="s">
        <v>20</v>
      </c>
      <c r="M801">
        <v>95</v>
      </c>
      <c r="N801" t="s">
        <v>21</v>
      </c>
      <c r="O801" t="s">
        <v>22</v>
      </c>
      <c r="P801" t="s">
        <v>23</v>
      </c>
    </row>
    <row r="802" spans="1:16" x14ac:dyDescent="0.3">
      <c r="A802" t="s">
        <v>2515</v>
      </c>
      <c r="B802" t="s">
        <v>2516</v>
      </c>
      <c r="C802" s="1">
        <v>45410</v>
      </c>
      <c r="D802" s="1">
        <v>45410</v>
      </c>
      <c r="E802">
        <v>50</v>
      </c>
      <c r="F802">
        <v>50</v>
      </c>
      <c r="G802">
        <v>0</v>
      </c>
      <c r="H802">
        <v>0</v>
      </c>
      <c r="I802" t="s">
        <v>2511</v>
      </c>
      <c r="J802" t="s">
        <v>2512</v>
      </c>
      <c r="K802" t="s">
        <v>19</v>
      </c>
      <c r="L802" t="s">
        <v>20</v>
      </c>
      <c r="M802">
        <v>95</v>
      </c>
      <c r="N802" t="s">
        <v>21</v>
      </c>
      <c r="O802" t="s">
        <v>219</v>
      </c>
      <c r="P802" t="s">
        <v>220</v>
      </c>
    </row>
    <row r="803" spans="1:16" x14ac:dyDescent="0.3">
      <c r="A803" t="s">
        <v>2517</v>
      </c>
      <c r="B803" t="s">
        <v>2518</v>
      </c>
      <c r="C803" s="1">
        <v>45410</v>
      </c>
      <c r="D803" s="1">
        <v>45410</v>
      </c>
      <c r="E803">
        <v>1</v>
      </c>
      <c r="F803">
        <v>1</v>
      </c>
      <c r="G803">
        <v>0</v>
      </c>
      <c r="H803">
        <v>0</v>
      </c>
      <c r="I803" t="s">
        <v>2519</v>
      </c>
      <c r="J803" t="s">
        <v>2520</v>
      </c>
      <c r="K803" t="s">
        <v>19</v>
      </c>
      <c r="L803" t="s">
        <v>20</v>
      </c>
      <c r="M803">
        <v>95</v>
      </c>
      <c r="N803" t="s">
        <v>21</v>
      </c>
      <c r="O803" t="s">
        <v>22</v>
      </c>
      <c r="P803" t="s">
        <v>23</v>
      </c>
    </row>
    <row r="804" spans="1:16" x14ac:dyDescent="0.3">
      <c r="A804" t="s">
        <v>2521</v>
      </c>
      <c r="B804" t="s">
        <v>2522</v>
      </c>
      <c r="C804" s="1">
        <v>45410</v>
      </c>
      <c r="D804" s="1">
        <v>45410</v>
      </c>
      <c r="E804">
        <v>499</v>
      </c>
      <c r="F804">
        <v>499</v>
      </c>
      <c r="G804">
        <v>0</v>
      </c>
      <c r="H804">
        <v>0</v>
      </c>
      <c r="I804" t="s">
        <v>2523</v>
      </c>
      <c r="J804" t="s">
        <v>2524</v>
      </c>
      <c r="K804" t="s">
        <v>19</v>
      </c>
      <c r="L804" t="s">
        <v>20</v>
      </c>
      <c r="M804">
        <v>95</v>
      </c>
      <c r="N804" t="s">
        <v>21</v>
      </c>
      <c r="O804" t="s">
        <v>22</v>
      </c>
      <c r="P804" t="s">
        <v>23</v>
      </c>
    </row>
    <row r="805" spans="1:16" x14ac:dyDescent="0.3">
      <c r="A805" t="s">
        <v>2525</v>
      </c>
      <c r="B805" t="s">
        <v>2526</v>
      </c>
      <c r="C805" s="1">
        <v>45410</v>
      </c>
      <c r="D805" s="1">
        <v>45410</v>
      </c>
      <c r="E805">
        <v>15</v>
      </c>
      <c r="F805">
        <v>15</v>
      </c>
      <c r="G805">
        <v>0</v>
      </c>
      <c r="H805">
        <v>0</v>
      </c>
      <c r="I805" t="s">
        <v>2527</v>
      </c>
      <c r="J805" t="s">
        <v>2528</v>
      </c>
      <c r="K805" t="s">
        <v>19</v>
      </c>
      <c r="L805" t="s">
        <v>20</v>
      </c>
      <c r="M805">
        <v>95</v>
      </c>
      <c r="N805" t="s">
        <v>21</v>
      </c>
      <c r="O805" t="s">
        <v>22</v>
      </c>
      <c r="P805" t="s">
        <v>23</v>
      </c>
    </row>
    <row r="806" spans="1:16" x14ac:dyDescent="0.3">
      <c r="A806" t="s">
        <v>2529</v>
      </c>
      <c r="B806" t="s">
        <v>2530</v>
      </c>
      <c r="C806" s="1">
        <v>45411</v>
      </c>
      <c r="D806" s="1">
        <v>45411</v>
      </c>
      <c r="E806">
        <v>650</v>
      </c>
      <c r="F806">
        <v>650</v>
      </c>
      <c r="G806">
        <v>0</v>
      </c>
      <c r="H806">
        <v>0</v>
      </c>
      <c r="I806" t="s">
        <v>108</v>
      </c>
      <c r="J806" t="s">
        <v>109</v>
      </c>
      <c r="K806" t="s">
        <v>19</v>
      </c>
      <c r="L806" t="s">
        <v>110</v>
      </c>
      <c r="M806">
        <v>100</v>
      </c>
      <c r="N806" t="s">
        <v>21</v>
      </c>
      <c r="O806" t="s">
        <v>22</v>
      </c>
      <c r="P806" t="s">
        <v>23</v>
      </c>
    </row>
    <row r="807" spans="1:16" x14ac:dyDescent="0.3">
      <c r="A807" t="s">
        <v>2531</v>
      </c>
      <c r="B807" t="s">
        <v>2532</v>
      </c>
      <c r="C807" s="1">
        <v>45412</v>
      </c>
      <c r="D807" s="1">
        <v>45412</v>
      </c>
      <c r="E807">
        <v>50</v>
      </c>
      <c r="F807">
        <v>50</v>
      </c>
      <c r="G807">
        <v>0</v>
      </c>
      <c r="H807">
        <v>0</v>
      </c>
      <c r="I807" t="s">
        <v>108</v>
      </c>
      <c r="J807" t="s">
        <v>109</v>
      </c>
      <c r="K807" t="s">
        <v>19</v>
      </c>
      <c r="L807" t="s">
        <v>110</v>
      </c>
      <c r="M807">
        <v>100</v>
      </c>
      <c r="N807" t="s">
        <v>21</v>
      </c>
      <c r="O807" t="s">
        <v>22</v>
      </c>
      <c r="P807" t="s">
        <v>23</v>
      </c>
    </row>
    <row r="808" spans="1:16" x14ac:dyDescent="0.3">
      <c r="A808" t="s">
        <v>2533</v>
      </c>
      <c r="B808" t="s">
        <v>2534</v>
      </c>
      <c r="C808" s="1">
        <v>45412</v>
      </c>
      <c r="D808" s="1">
        <v>45412</v>
      </c>
      <c r="E808">
        <v>70</v>
      </c>
      <c r="F808">
        <v>70</v>
      </c>
      <c r="G808">
        <v>0</v>
      </c>
      <c r="H808">
        <v>0</v>
      </c>
      <c r="I808" t="s">
        <v>2535</v>
      </c>
      <c r="J808" t="s">
        <v>2536</v>
      </c>
      <c r="K808" t="s">
        <v>19</v>
      </c>
      <c r="L808" t="s">
        <v>20</v>
      </c>
      <c r="M808">
        <v>95</v>
      </c>
      <c r="N808" t="s">
        <v>21</v>
      </c>
      <c r="O808" t="s">
        <v>22</v>
      </c>
      <c r="P808" t="s">
        <v>23</v>
      </c>
    </row>
    <row r="809" spans="1:16" x14ac:dyDescent="0.3">
      <c r="A809" t="s">
        <v>2537</v>
      </c>
      <c r="B809" t="s">
        <v>2538</v>
      </c>
      <c r="C809" s="1">
        <v>45412</v>
      </c>
      <c r="D809" s="1">
        <v>45412</v>
      </c>
      <c r="E809">
        <v>10</v>
      </c>
      <c r="F809">
        <v>10</v>
      </c>
      <c r="G809">
        <v>0</v>
      </c>
      <c r="H809">
        <v>0</v>
      </c>
      <c r="I809" t="s">
        <v>2539</v>
      </c>
      <c r="J809" t="s">
        <v>2540</v>
      </c>
      <c r="K809" t="s">
        <v>19</v>
      </c>
      <c r="L809" t="s">
        <v>20</v>
      </c>
      <c r="M809">
        <v>95</v>
      </c>
      <c r="N809" t="s">
        <v>21</v>
      </c>
      <c r="O809" t="s">
        <v>22</v>
      </c>
      <c r="P809" t="s">
        <v>23</v>
      </c>
    </row>
    <row r="810" spans="1:16" x14ac:dyDescent="0.3">
      <c r="A810" t="s">
        <v>2541</v>
      </c>
      <c r="B810" t="s">
        <v>2542</v>
      </c>
      <c r="C810" s="1">
        <v>45412</v>
      </c>
      <c r="D810" s="1">
        <v>45412</v>
      </c>
      <c r="E810">
        <v>15</v>
      </c>
      <c r="F810">
        <v>15</v>
      </c>
      <c r="G810">
        <v>0</v>
      </c>
      <c r="H810">
        <v>0</v>
      </c>
      <c r="I810" t="s">
        <v>2539</v>
      </c>
      <c r="J810" t="s">
        <v>2540</v>
      </c>
      <c r="K810" t="s">
        <v>19</v>
      </c>
      <c r="L810" t="s">
        <v>20</v>
      </c>
      <c r="M810">
        <v>95</v>
      </c>
      <c r="N810" t="s">
        <v>21</v>
      </c>
      <c r="O810" t="s">
        <v>22</v>
      </c>
      <c r="P810" t="s">
        <v>23</v>
      </c>
    </row>
    <row r="811" spans="1:16" x14ac:dyDescent="0.3">
      <c r="A811" t="s">
        <v>2543</v>
      </c>
      <c r="B811" t="s">
        <v>2544</v>
      </c>
      <c r="C811" s="1">
        <v>45412</v>
      </c>
      <c r="D811" s="1">
        <v>45412</v>
      </c>
      <c r="E811">
        <v>480</v>
      </c>
      <c r="F811">
        <v>480</v>
      </c>
      <c r="G811">
        <v>0</v>
      </c>
      <c r="H811">
        <v>0</v>
      </c>
      <c r="I811" t="s">
        <v>2535</v>
      </c>
      <c r="J811" t="s">
        <v>2536</v>
      </c>
      <c r="K811" t="s">
        <v>19</v>
      </c>
      <c r="L811" t="s">
        <v>20</v>
      </c>
      <c r="M811">
        <v>95</v>
      </c>
      <c r="N811" t="s">
        <v>21</v>
      </c>
      <c r="O811" t="s">
        <v>22</v>
      </c>
      <c r="P811" t="s">
        <v>23</v>
      </c>
    </row>
    <row r="812" spans="1:16" x14ac:dyDescent="0.3">
      <c r="A812" t="s">
        <v>2545</v>
      </c>
      <c r="B812" t="s">
        <v>2546</v>
      </c>
      <c r="C812" s="1">
        <v>45412</v>
      </c>
      <c r="D812" s="1">
        <v>45412</v>
      </c>
      <c r="E812">
        <v>1000</v>
      </c>
      <c r="F812">
        <v>1000</v>
      </c>
      <c r="G812">
        <v>0</v>
      </c>
      <c r="H812">
        <v>0</v>
      </c>
      <c r="I812" t="s">
        <v>2535</v>
      </c>
      <c r="J812" t="s">
        <v>2536</v>
      </c>
      <c r="K812" t="s">
        <v>19</v>
      </c>
      <c r="L812" t="s">
        <v>20</v>
      </c>
      <c r="M812">
        <v>95</v>
      </c>
      <c r="N812" t="s">
        <v>21</v>
      </c>
      <c r="O812" t="s">
        <v>22</v>
      </c>
      <c r="P812" t="s">
        <v>23</v>
      </c>
    </row>
    <row r="813" spans="1:16" x14ac:dyDescent="0.3">
      <c r="A813" t="s">
        <v>2547</v>
      </c>
      <c r="B813" t="s">
        <v>2548</v>
      </c>
      <c r="C813" s="1">
        <v>45412</v>
      </c>
      <c r="D813" s="1">
        <v>45412</v>
      </c>
      <c r="E813">
        <v>130</v>
      </c>
      <c r="F813">
        <v>130</v>
      </c>
      <c r="G813">
        <v>0</v>
      </c>
      <c r="H813">
        <v>0</v>
      </c>
      <c r="I813" t="s">
        <v>358</v>
      </c>
      <c r="J813" t="s">
        <v>359</v>
      </c>
      <c r="K813" t="s">
        <v>19</v>
      </c>
      <c r="L813" t="s">
        <v>20</v>
      </c>
      <c r="M813">
        <v>95</v>
      </c>
      <c r="N813" t="s">
        <v>21</v>
      </c>
      <c r="O813" t="s">
        <v>22</v>
      </c>
      <c r="P813" t="s">
        <v>23</v>
      </c>
    </row>
    <row r="814" spans="1:16" x14ac:dyDescent="0.3">
      <c r="A814" t="s">
        <v>2549</v>
      </c>
      <c r="B814" t="s">
        <v>2550</v>
      </c>
      <c r="C814" s="1">
        <v>45412</v>
      </c>
      <c r="D814" s="1">
        <v>45412</v>
      </c>
      <c r="E814">
        <v>600</v>
      </c>
      <c r="F814">
        <v>600</v>
      </c>
      <c r="G814">
        <v>0</v>
      </c>
      <c r="H814">
        <v>0</v>
      </c>
      <c r="I814" t="s">
        <v>2551</v>
      </c>
      <c r="J814" t="s">
        <v>2552</v>
      </c>
      <c r="K814" t="s">
        <v>19</v>
      </c>
      <c r="L814" t="s">
        <v>20</v>
      </c>
      <c r="M814">
        <v>95</v>
      </c>
      <c r="N814" t="s">
        <v>21</v>
      </c>
      <c r="O814" t="s">
        <v>22</v>
      </c>
      <c r="P814" t="s">
        <v>23</v>
      </c>
    </row>
    <row r="815" spans="1:16" x14ac:dyDescent="0.3">
      <c r="A815" t="s">
        <v>2553</v>
      </c>
      <c r="B815" t="s">
        <v>2554</v>
      </c>
      <c r="C815" s="1">
        <v>45413</v>
      </c>
      <c r="D815" s="1">
        <v>45413</v>
      </c>
      <c r="E815">
        <v>1650</v>
      </c>
      <c r="F815">
        <v>1650</v>
      </c>
      <c r="G815">
        <v>0</v>
      </c>
      <c r="H815">
        <v>0</v>
      </c>
      <c r="I815" t="s">
        <v>108</v>
      </c>
      <c r="J815" t="s">
        <v>109</v>
      </c>
      <c r="K815" t="s">
        <v>19</v>
      </c>
      <c r="L815" t="s">
        <v>110</v>
      </c>
      <c r="M815">
        <v>100</v>
      </c>
      <c r="N815" t="s">
        <v>21</v>
      </c>
      <c r="O815" t="s">
        <v>22</v>
      </c>
      <c r="P815" t="s">
        <v>23</v>
      </c>
    </row>
    <row r="816" spans="1:16" x14ac:dyDescent="0.3">
      <c r="A816" t="s">
        <v>2555</v>
      </c>
      <c r="B816" t="s">
        <v>2556</v>
      </c>
      <c r="C816" s="1">
        <v>45413</v>
      </c>
      <c r="D816" s="1">
        <v>45413</v>
      </c>
      <c r="E816">
        <v>242</v>
      </c>
      <c r="F816">
        <v>242</v>
      </c>
      <c r="G816">
        <v>0</v>
      </c>
      <c r="H816">
        <v>0</v>
      </c>
      <c r="I816" t="s">
        <v>167</v>
      </c>
      <c r="J816" t="s">
        <v>168</v>
      </c>
      <c r="K816" t="s">
        <v>19</v>
      </c>
      <c r="L816" t="s">
        <v>20</v>
      </c>
      <c r="M816">
        <v>95</v>
      </c>
      <c r="N816" t="s">
        <v>21</v>
      </c>
      <c r="O816" t="s">
        <v>22</v>
      </c>
      <c r="P816" t="s">
        <v>23</v>
      </c>
    </row>
    <row r="817" spans="1:16" x14ac:dyDescent="0.3">
      <c r="A817" t="s">
        <v>2557</v>
      </c>
      <c r="B817" t="s">
        <v>2558</v>
      </c>
      <c r="C817" s="1">
        <v>45412</v>
      </c>
      <c r="D817" s="1">
        <v>45412</v>
      </c>
      <c r="E817">
        <v>47</v>
      </c>
      <c r="F817">
        <v>47</v>
      </c>
      <c r="G817">
        <v>0</v>
      </c>
      <c r="H817">
        <v>0</v>
      </c>
      <c r="I817" t="s">
        <v>816</v>
      </c>
      <c r="J817" t="s">
        <v>816</v>
      </c>
      <c r="K817" t="s">
        <v>19</v>
      </c>
      <c r="L817" t="s">
        <v>20</v>
      </c>
      <c r="M817">
        <v>95</v>
      </c>
      <c r="N817" t="s">
        <v>21</v>
      </c>
      <c r="O817" t="s">
        <v>22</v>
      </c>
      <c r="P817" t="s">
        <v>23</v>
      </c>
    </row>
    <row r="818" spans="1:16" x14ac:dyDescent="0.3">
      <c r="A818" t="s">
        <v>2559</v>
      </c>
      <c r="B818" t="s">
        <v>2560</v>
      </c>
      <c r="C818" s="1">
        <v>45414</v>
      </c>
      <c r="D818" s="1">
        <v>45414</v>
      </c>
      <c r="E818">
        <v>860</v>
      </c>
      <c r="F818">
        <v>860</v>
      </c>
      <c r="G818">
        <v>0</v>
      </c>
      <c r="H818">
        <v>0</v>
      </c>
      <c r="I818" t="s">
        <v>108</v>
      </c>
      <c r="J818" t="s">
        <v>109</v>
      </c>
      <c r="K818" t="s">
        <v>19</v>
      </c>
      <c r="L818" t="s">
        <v>110</v>
      </c>
      <c r="M818">
        <v>100</v>
      </c>
      <c r="N818" t="s">
        <v>21</v>
      </c>
      <c r="O818" t="s">
        <v>22</v>
      </c>
      <c r="P818" t="s">
        <v>23</v>
      </c>
    </row>
    <row r="819" spans="1:16" x14ac:dyDescent="0.3">
      <c r="A819" t="s">
        <v>2561</v>
      </c>
      <c r="B819" t="s">
        <v>2562</v>
      </c>
      <c r="C819" s="1">
        <v>45414</v>
      </c>
      <c r="D819" s="1">
        <v>45415</v>
      </c>
      <c r="E819">
        <v>20</v>
      </c>
      <c r="F819">
        <v>20</v>
      </c>
      <c r="G819">
        <v>0</v>
      </c>
      <c r="H819">
        <v>1</v>
      </c>
      <c r="I819" t="s">
        <v>2563</v>
      </c>
      <c r="J819" t="s">
        <v>2564</v>
      </c>
      <c r="K819" t="s">
        <v>235</v>
      </c>
      <c r="L819" t="s">
        <v>265</v>
      </c>
      <c r="M819">
        <v>80</v>
      </c>
      <c r="N819" t="s">
        <v>93</v>
      </c>
      <c r="O819" t="s">
        <v>22</v>
      </c>
      <c r="P819" t="s">
        <v>23</v>
      </c>
    </row>
    <row r="820" spans="1:16" x14ac:dyDescent="0.3">
      <c r="A820" t="s">
        <v>2565</v>
      </c>
      <c r="B820" t="s">
        <v>2566</v>
      </c>
      <c r="C820" s="1">
        <v>45414</v>
      </c>
      <c r="D820" s="1">
        <v>45414</v>
      </c>
      <c r="E820">
        <v>10</v>
      </c>
      <c r="F820">
        <v>10</v>
      </c>
      <c r="G820">
        <v>0</v>
      </c>
      <c r="H820">
        <v>0</v>
      </c>
      <c r="I820" t="s">
        <v>2563</v>
      </c>
      <c r="J820" t="s">
        <v>2564</v>
      </c>
      <c r="K820" t="s">
        <v>19</v>
      </c>
      <c r="L820" t="s">
        <v>20</v>
      </c>
      <c r="M820">
        <v>95</v>
      </c>
      <c r="N820" t="s">
        <v>21</v>
      </c>
      <c r="O820" t="s">
        <v>22</v>
      </c>
      <c r="P820" t="s">
        <v>23</v>
      </c>
    </row>
    <row r="821" spans="1:16" x14ac:dyDescent="0.3">
      <c r="A821" t="s">
        <v>2567</v>
      </c>
      <c r="B821" t="s">
        <v>2568</v>
      </c>
      <c r="C821" s="1">
        <v>45414</v>
      </c>
      <c r="D821" s="1">
        <v>45414</v>
      </c>
      <c r="E821">
        <v>80</v>
      </c>
      <c r="F821">
        <v>80</v>
      </c>
      <c r="G821">
        <v>0</v>
      </c>
      <c r="H821">
        <v>0</v>
      </c>
      <c r="I821" t="s">
        <v>441</v>
      </c>
      <c r="J821" t="s">
        <v>442</v>
      </c>
      <c r="K821" t="s">
        <v>19</v>
      </c>
      <c r="L821" t="s">
        <v>20</v>
      </c>
      <c r="M821">
        <v>95</v>
      </c>
      <c r="N821" t="s">
        <v>21</v>
      </c>
      <c r="O821" t="s">
        <v>22</v>
      </c>
      <c r="P821" t="s">
        <v>23</v>
      </c>
    </row>
    <row r="822" spans="1:16" x14ac:dyDescent="0.3">
      <c r="A822" t="s">
        <v>2569</v>
      </c>
      <c r="B822" t="s">
        <v>2570</v>
      </c>
      <c r="C822" s="1">
        <v>45414</v>
      </c>
      <c r="D822" s="1">
        <v>45414</v>
      </c>
      <c r="E822">
        <v>1500</v>
      </c>
      <c r="F822">
        <v>1500</v>
      </c>
      <c r="G822">
        <v>0</v>
      </c>
      <c r="H822">
        <v>0</v>
      </c>
      <c r="I822" t="s">
        <v>153</v>
      </c>
      <c r="J822" t="s">
        <v>153</v>
      </c>
      <c r="K822" t="s">
        <v>19</v>
      </c>
      <c r="L822" t="s">
        <v>20</v>
      </c>
      <c r="M822">
        <v>95</v>
      </c>
      <c r="N822" t="s">
        <v>21</v>
      </c>
      <c r="O822" t="s">
        <v>22</v>
      </c>
      <c r="P822" t="s">
        <v>23</v>
      </c>
    </row>
    <row r="823" spans="1:16" x14ac:dyDescent="0.3">
      <c r="A823" t="s">
        <v>2571</v>
      </c>
      <c r="B823" t="s">
        <v>2572</v>
      </c>
      <c r="C823" s="1">
        <v>45414</v>
      </c>
      <c r="D823" s="1">
        <v>45414</v>
      </c>
      <c r="E823">
        <v>130</v>
      </c>
      <c r="F823">
        <v>130</v>
      </c>
      <c r="G823">
        <v>0</v>
      </c>
      <c r="H823">
        <v>0</v>
      </c>
      <c r="I823" t="s">
        <v>358</v>
      </c>
      <c r="J823" t="s">
        <v>359</v>
      </c>
      <c r="K823" t="s">
        <v>91</v>
      </c>
      <c r="L823" t="s">
        <v>92</v>
      </c>
      <c r="M823">
        <v>85</v>
      </c>
      <c r="N823" t="s">
        <v>93</v>
      </c>
      <c r="O823" t="s">
        <v>219</v>
      </c>
      <c r="P823" t="s">
        <v>220</v>
      </c>
    </row>
    <row r="824" spans="1:16" x14ac:dyDescent="0.3">
      <c r="A824" t="s">
        <v>2573</v>
      </c>
      <c r="B824" t="s">
        <v>2574</v>
      </c>
      <c r="C824" s="1">
        <v>45414</v>
      </c>
      <c r="D824" s="1">
        <v>45414</v>
      </c>
      <c r="E824">
        <v>130</v>
      </c>
      <c r="F824">
        <v>130</v>
      </c>
      <c r="G824">
        <v>0</v>
      </c>
      <c r="H824">
        <v>0</v>
      </c>
      <c r="I824" t="s">
        <v>358</v>
      </c>
      <c r="J824" t="s">
        <v>359</v>
      </c>
      <c r="K824" t="s">
        <v>91</v>
      </c>
      <c r="L824" t="s">
        <v>92</v>
      </c>
      <c r="M824">
        <v>85</v>
      </c>
      <c r="N824" t="s">
        <v>93</v>
      </c>
      <c r="O824" t="s">
        <v>219</v>
      </c>
      <c r="P824" t="s">
        <v>220</v>
      </c>
    </row>
    <row r="825" spans="1:16" x14ac:dyDescent="0.3">
      <c r="A825" t="s">
        <v>2575</v>
      </c>
      <c r="B825" t="s">
        <v>2576</v>
      </c>
      <c r="C825" s="1">
        <v>45414</v>
      </c>
      <c r="D825" s="1">
        <v>45414</v>
      </c>
      <c r="E825">
        <v>400</v>
      </c>
      <c r="F825">
        <v>400</v>
      </c>
      <c r="G825">
        <v>0</v>
      </c>
      <c r="H825">
        <v>0</v>
      </c>
      <c r="I825" t="s">
        <v>2577</v>
      </c>
      <c r="J825" t="s">
        <v>2578</v>
      </c>
      <c r="K825" t="s">
        <v>19</v>
      </c>
      <c r="L825" t="s">
        <v>20</v>
      </c>
      <c r="M825">
        <v>95</v>
      </c>
      <c r="N825" t="s">
        <v>21</v>
      </c>
      <c r="O825" t="s">
        <v>22</v>
      </c>
      <c r="P825" t="s">
        <v>23</v>
      </c>
    </row>
    <row r="826" spans="1:16" x14ac:dyDescent="0.3">
      <c r="A826" t="s">
        <v>2579</v>
      </c>
      <c r="B826" t="s">
        <v>2580</v>
      </c>
      <c r="C826" s="1">
        <v>45414</v>
      </c>
      <c r="D826" s="1">
        <v>45414</v>
      </c>
      <c r="E826">
        <v>130</v>
      </c>
      <c r="F826">
        <v>130</v>
      </c>
      <c r="G826">
        <v>0</v>
      </c>
      <c r="H826">
        <v>0</v>
      </c>
      <c r="I826" t="s">
        <v>358</v>
      </c>
      <c r="J826" t="s">
        <v>359</v>
      </c>
      <c r="K826" t="s">
        <v>19</v>
      </c>
      <c r="L826" t="s">
        <v>20</v>
      </c>
      <c r="M826">
        <v>95</v>
      </c>
      <c r="N826" t="s">
        <v>21</v>
      </c>
      <c r="O826" t="s">
        <v>219</v>
      </c>
      <c r="P826" t="s">
        <v>220</v>
      </c>
    </row>
    <row r="827" spans="1:16" x14ac:dyDescent="0.3">
      <c r="A827" t="s">
        <v>2581</v>
      </c>
      <c r="B827" t="s">
        <v>2582</v>
      </c>
      <c r="C827" s="1">
        <v>45415</v>
      </c>
      <c r="D827" s="1">
        <v>45415</v>
      </c>
      <c r="E827">
        <v>320</v>
      </c>
      <c r="F827">
        <v>320</v>
      </c>
      <c r="G827">
        <v>0</v>
      </c>
      <c r="H827">
        <v>0</v>
      </c>
      <c r="I827" t="s">
        <v>108</v>
      </c>
      <c r="J827" t="s">
        <v>109</v>
      </c>
      <c r="K827" t="s">
        <v>19</v>
      </c>
      <c r="L827" t="s">
        <v>110</v>
      </c>
      <c r="M827">
        <v>100</v>
      </c>
      <c r="N827" t="s">
        <v>21</v>
      </c>
      <c r="O827" t="s">
        <v>22</v>
      </c>
      <c r="P827" t="s">
        <v>23</v>
      </c>
    </row>
    <row r="828" spans="1:16" x14ac:dyDescent="0.3">
      <c r="A828" t="s">
        <v>2583</v>
      </c>
      <c r="B828" t="s">
        <v>2584</v>
      </c>
      <c r="C828" s="1">
        <v>45415</v>
      </c>
      <c r="D828" s="1">
        <v>45415</v>
      </c>
      <c r="E828">
        <v>50</v>
      </c>
      <c r="F828">
        <v>50</v>
      </c>
      <c r="G828">
        <v>0</v>
      </c>
      <c r="H828">
        <v>0</v>
      </c>
      <c r="I828" t="s">
        <v>441</v>
      </c>
      <c r="J828" t="s">
        <v>442</v>
      </c>
      <c r="K828" t="s">
        <v>19</v>
      </c>
      <c r="L828" t="s">
        <v>20</v>
      </c>
      <c r="M828">
        <v>95</v>
      </c>
      <c r="N828" t="s">
        <v>21</v>
      </c>
      <c r="O828" t="s">
        <v>22</v>
      </c>
      <c r="P828" t="s">
        <v>23</v>
      </c>
    </row>
    <row r="829" spans="1:16" x14ac:dyDescent="0.3">
      <c r="A829" t="s">
        <v>2585</v>
      </c>
      <c r="B829" t="s">
        <v>2586</v>
      </c>
      <c r="C829" s="1">
        <v>45415</v>
      </c>
      <c r="D829" s="1">
        <v>45415</v>
      </c>
      <c r="E829">
        <v>180</v>
      </c>
      <c r="F829">
        <v>180</v>
      </c>
      <c r="G829">
        <v>0</v>
      </c>
      <c r="H829">
        <v>0</v>
      </c>
      <c r="I829" t="s">
        <v>2587</v>
      </c>
      <c r="J829" t="s">
        <v>2588</v>
      </c>
      <c r="K829" t="s">
        <v>19</v>
      </c>
      <c r="L829" t="s">
        <v>20</v>
      </c>
      <c r="M829">
        <v>95</v>
      </c>
      <c r="N829" t="s">
        <v>21</v>
      </c>
      <c r="O829" t="s">
        <v>22</v>
      </c>
      <c r="P829" t="s">
        <v>23</v>
      </c>
    </row>
    <row r="830" spans="1:16" x14ac:dyDescent="0.3">
      <c r="A830" t="s">
        <v>2589</v>
      </c>
      <c r="B830" t="s">
        <v>2590</v>
      </c>
      <c r="C830" s="1">
        <v>45416</v>
      </c>
      <c r="D830" s="1">
        <v>45261</v>
      </c>
      <c r="E830">
        <v>1380</v>
      </c>
      <c r="F830">
        <v>1575</v>
      </c>
      <c r="G830">
        <v>195</v>
      </c>
      <c r="H830">
        <v>-155</v>
      </c>
      <c r="I830" t="s">
        <v>108</v>
      </c>
      <c r="J830" t="s">
        <v>109</v>
      </c>
      <c r="K830" t="s">
        <v>278</v>
      </c>
      <c r="L830" t="s">
        <v>2591</v>
      </c>
      <c r="M830">
        <v>80</v>
      </c>
      <c r="N830" t="s">
        <v>93</v>
      </c>
      <c r="O830" t="s">
        <v>22</v>
      </c>
      <c r="P830" t="s">
        <v>23</v>
      </c>
    </row>
    <row r="831" spans="1:16" x14ac:dyDescent="0.3">
      <c r="A831" t="s">
        <v>2592</v>
      </c>
      <c r="B831" t="s">
        <v>2593</v>
      </c>
      <c r="C831" s="1">
        <v>45416</v>
      </c>
      <c r="D831" s="1">
        <v>45416</v>
      </c>
      <c r="E831">
        <v>20</v>
      </c>
      <c r="F831">
        <v>20</v>
      </c>
      <c r="G831">
        <v>0</v>
      </c>
      <c r="H831">
        <v>0</v>
      </c>
      <c r="I831" t="s">
        <v>358</v>
      </c>
      <c r="J831" t="s">
        <v>359</v>
      </c>
      <c r="K831" t="s">
        <v>19</v>
      </c>
      <c r="L831" t="s">
        <v>20</v>
      </c>
      <c r="M831">
        <v>95</v>
      </c>
      <c r="N831" t="s">
        <v>21</v>
      </c>
      <c r="O831" t="s">
        <v>22</v>
      </c>
      <c r="P831" t="s">
        <v>23</v>
      </c>
    </row>
    <row r="832" spans="1:16" x14ac:dyDescent="0.3">
      <c r="A832" t="s">
        <v>2594</v>
      </c>
      <c r="B832" t="s">
        <v>2595</v>
      </c>
      <c r="C832" s="1">
        <v>45416</v>
      </c>
      <c r="D832" s="1">
        <v>45416</v>
      </c>
      <c r="E832">
        <v>130</v>
      </c>
      <c r="F832">
        <v>130</v>
      </c>
      <c r="G832">
        <v>0</v>
      </c>
      <c r="H832">
        <v>0</v>
      </c>
      <c r="I832" t="s">
        <v>358</v>
      </c>
      <c r="J832" t="s">
        <v>359</v>
      </c>
      <c r="K832" t="s">
        <v>19</v>
      </c>
      <c r="L832" t="s">
        <v>20</v>
      </c>
      <c r="M832">
        <v>95</v>
      </c>
      <c r="N832" t="s">
        <v>21</v>
      </c>
      <c r="O832" t="s">
        <v>22</v>
      </c>
      <c r="P832" t="s">
        <v>23</v>
      </c>
    </row>
    <row r="833" spans="1:16" x14ac:dyDescent="0.3">
      <c r="A833" t="s">
        <v>2596</v>
      </c>
      <c r="B833" t="s">
        <v>2597</v>
      </c>
      <c r="C833" s="1">
        <v>45416</v>
      </c>
      <c r="D833" s="1">
        <v>45416</v>
      </c>
      <c r="E833">
        <v>400</v>
      </c>
      <c r="F833">
        <v>400</v>
      </c>
      <c r="G833">
        <v>0</v>
      </c>
      <c r="H833">
        <v>0</v>
      </c>
      <c r="I833" t="s">
        <v>2598</v>
      </c>
      <c r="J833" t="s">
        <v>2599</v>
      </c>
      <c r="K833" t="s">
        <v>19</v>
      </c>
      <c r="L833" t="s">
        <v>20</v>
      </c>
      <c r="M833">
        <v>95</v>
      </c>
      <c r="N833" t="s">
        <v>21</v>
      </c>
      <c r="O833" t="s">
        <v>22</v>
      </c>
      <c r="P833" t="s">
        <v>23</v>
      </c>
    </row>
    <row r="834" spans="1:16" x14ac:dyDescent="0.3">
      <c r="A834" t="s">
        <v>2600</v>
      </c>
      <c r="B834" t="s">
        <v>2601</v>
      </c>
      <c r="C834" s="1">
        <v>45417</v>
      </c>
      <c r="D834" s="1">
        <v>45417</v>
      </c>
      <c r="E834">
        <v>800</v>
      </c>
      <c r="F834">
        <v>800</v>
      </c>
      <c r="G834">
        <v>0</v>
      </c>
      <c r="H834">
        <v>0</v>
      </c>
      <c r="I834" t="s">
        <v>108</v>
      </c>
      <c r="J834" t="s">
        <v>109</v>
      </c>
      <c r="K834" t="s">
        <v>19</v>
      </c>
      <c r="L834" t="s">
        <v>110</v>
      </c>
      <c r="M834">
        <v>100</v>
      </c>
      <c r="N834" t="s">
        <v>21</v>
      </c>
      <c r="O834" t="s">
        <v>22</v>
      </c>
      <c r="P834" t="s">
        <v>23</v>
      </c>
    </row>
    <row r="835" spans="1:16" x14ac:dyDescent="0.3">
      <c r="A835" t="s">
        <v>2602</v>
      </c>
      <c r="B835" t="s">
        <v>2603</v>
      </c>
      <c r="C835" s="1">
        <v>45417</v>
      </c>
      <c r="D835" s="1">
        <v>45417</v>
      </c>
      <c r="E835">
        <v>110</v>
      </c>
      <c r="F835">
        <v>110</v>
      </c>
      <c r="G835">
        <v>0</v>
      </c>
      <c r="H835">
        <v>0</v>
      </c>
      <c r="I835" t="s">
        <v>2604</v>
      </c>
      <c r="J835" t="s">
        <v>2605</v>
      </c>
      <c r="K835" t="s">
        <v>91</v>
      </c>
      <c r="L835" t="s">
        <v>92</v>
      </c>
      <c r="M835">
        <v>85</v>
      </c>
      <c r="N835" t="s">
        <v>93</v>
      </c>
      <c r="O835" t="s">
        <v>22</v>
      </c>
      <c r="P835" t="s">
        <v>23</v>
      </c>
    </row>
    <row r="836" spans="1:16" x14ac:dyDescent="0.3">
      <c r="A836" t="s">
        <v>2606</v>
      </c>
      <c r="B836" t="s">
        <v>2607</v>
      </c>
      <c r="C836" s="1">
        <v>45417</v>
      </c>
      <c r="D836" s="1">
        <v>45417</v>
      </c>
      <c r="E836">
        <v>80</v>
      </c>
      <c r="F836">
        <v>80</v>
      </c>
      <c r="G836">
        <v>0</v>
      </c>
      <c r="H836">
        <v>0</v>
      </c>
      <c r="I836" t="s">
        <v>2604</v>
      </c>
      <c r="J836" t="s">
        <v>2605</v>
      </c>
      <c r="K836" t="s">
        <v>19</v>
      </c>
      <c r="L836" t="s">
        <v>20</v>
      </c>
      <c r="M836">
        <v>95</v>
      </c>
      <c r="N836" t="s">
        <v>21</v>
      </c>
      <c r="O836" t="s">
        <v>22</v>
      </c>
      <c r="P836" t="s">
        <v>23</v>
      </c>
    </row>
    <row r="837" spans="1:16" x14ac:dyDescent="0.3">
      <c r="A837" t="s">
        <v>2608</v>
      </c>
      <c r="B837" t="s">
        <v>2609</v>
      </c>
      <c r="C837" s="1">
        <v>45417</v>
      </c>
      <c r="D837" s="1">
        <v>45417</v>
      </c>
      <c r="E837">
        <v>130</v>
      </c>
      <c r="F837">
        <v>130</v>
      </c>
      <c r="G837">
        <v>0</v>
      </c>
      <c r="H837">
        <v>0</v>
      </c>
      <c r="I837" t="s">
        <v>358</v>
      </c>
      <c r="J837" t="s">
        <v>359</v>
      </c>
      <c r="K837" t="s">
        <v>19</v>
      </c>
      <c r="L837" t="s">
        <v>20</v>
      </c>
      <c r="M837">
        <v>95</v>
      </c>
      <c r="N837" t="s">
        <v>21</v>
      </c>
      <c r="O837" t="s">
        <v>22</v>
      </c>
      <c r="P837" t="s">
        <v>23</v>
      </c>
    </row>
    <row r="838" spans="1:16" x14ac:dyDescent="0.3">
      <c r="A838" t="s">
        <v>2610</v>
      </c>
      <c r="B838" t="s">
        <v>2611</v>
      </c>
      <c r="C838" s="1">
        <v>45417</v>
      </c>
      <c r="D838" s="1">
        <v>45417</v>
      </c>
      <c r="E838">
        <v>110</v>
      </c>
      <c r="F838">
        <v>110</v>
      </c>
      <c r="G838">
        <v>0</v>
      </c>
      <c r="H838">
        <v>0</v>
      </c>
      <c r="I838" t="s">
        <v>2612</v>
      </c>
      <c r="J838" t="s">
        <v>2613</v>
      </c>
      <c r="K838" t="s">
        <v>19</v>
      </c>
      <c r="L838" t="s">
        <v>20</v>
      </c>
      <c r="M838">
        <v>95</v>
      </c>
      <c r="N838" t="s">
        <v>21</v>
      </c>
      <c r="O838" t="s">
        <v>22</v>
      </c>
      <c r="P838" t="s">
        <v>23</v>
      </c>
    </row>
    <row r="839" spans="1:16" x14ac:dyDescent="0.3">
      <c r="A839" t="s">
        <v>2614</v>
      </c>
      <c r="B839" t="s">
        <v>2615</v>
      </c>
      <c r="C839" s="1">
        <v>45418</v>
      </c>
      <c r="D839" s="1">
        <v>45418</v>
      </c>
      <c r="E839">
        <v>250</v>
      </c>
      <c r="F839">
        <v>250</v>
      </c>
      <c r="G839">
        <v>0</v>
      </c>
      <c r="H839">
        <v>0</v>
      </c>
      <c r="I839" t="s">
        <v>108</v>
      </c>
      <c r="J839" t="s">
        <v>109</v>
      </c>
      <c r="K839" t="s">
        <v>19</v>
      </c>
      <c r="L839" t="s">
        <v>110</v>
      </c>
      <c r="M839">
        <v>100</v>
      </c>
      <c r="N839" t="s">
        <v>21</v>
      </c>
      <c r="O839" t="s">
        <v>22</v>
      </c>
      <c r="P839" t="s">
        <v>23</v>
      </c>
    </row>
    <row r="840" spans="1:16" x14ac:dyDescent="0.3">
      <c r="A840" t="s">
        <v>2616</v>
      </c>
      <c r="B840" t="s">
        <v>2617</v>
      </c>
      <c r="C840" s="1">
        <v>45418</v>
      </c>
      <c r="D840" s="1">
        <v>45418</v>
      </c>
      <c r="E840">
        <v>20</v>
      </c>
      <c r="F840">
        <v>20</v>
      </c>
      <c r="G840">
        <v>0</v>
      </c>
      <c r="H840">
        <v>0</v>
      </c>
      <c r="I840" t="s">
        <v>1259</v>
      </c>
      <c r="J840" t="s">
        <v>1260</v>
      </c>
      <c r="K840" t="s">
        <v>91</v>
      </c>
      <c r="L840" t="s">
        <v>92</v>
      </c>
      <c r="M840">
        <v>85</v>
      </c>
      <c r="N840" t="s">
        <v>93</v>
      </c>
      <c r="O840" t="s">
        <v>22</v>
      </c>
      <c r="P840" t="s">
        <v>23</v>
      </c>
    </row>
    <row r="841" spans="1:16" x14ac:dyDescent="0.3">
      <c r="A841" t="s">
        <v>2618</v>
      </c>
      <c r="B841" t="s">
        <v>2619</v>
      </c>
      <c r="C841" s="1">
        <v>45418</v>
      </c>
      <c r="D841" s="1">
        <v>45418</v>
      </c>
      <c r="E841">
        <v>130</v>
      </c>
      <c r="F841">
        <v>130</v>
      </c>
      <c r="G841">
        <v>0</v>
      </c>
      <c r="H841">
        <v>0</v>
      </c>
      <c r="I841" t="s">
        <v>2620</v>
      </c>
      <c r="J841" t="s">
        <v>2621</v>
      </c>
      <c r="K841" t="s">
        <v>91</v>
      </c>
      <c r="L841" t="s">
        <v>92</v>
      </c>
      <c r="M841">
        <v>85</v>
      </c>
      <c r="N841" t="s">
        <v>93</v>
      </c>
      <c r="O841" t="s">
        <v>22</v>
      </c>
      <c r="P841" t="s">
        <v>23</v>
      </c>
    </row>
    <row r="842" spans="1:16" x14ac:dyDescent="0.3">
      <c r="A842" t="s">
        <v>2622</v>
      </c>
      <c r="B842" t="s">
        <v>2623</v>
      </c>
      <c r="C842" s="1">
        <v>45418</v>
      </c>
      <c r="D842" s="1">
        <v>45418</v>
      </c>
      <c r="E842">
        <v>130</v>
      </c>
      <c r="F842">
        <v>130</v>
      </c>
      <c r="G842">
        <v>0</v>
      </c>
      <c r="H842">
        <v>0</v>
      </c>
      <c r="I842" t="s">
        <v>358</v>
      </c>
      <c r="J842" t="s">
        <v>359</v>
      </c>
      <c r="K842" t="s">
        <v>19</v>
      </c>
      <c r="L842" t="s">
        <v>20</v>
      </c>
      <c r="M842">
        <v>95</v>
      </c>
      <c r="N842" t="s">
        <v>21</v>
      </c>
      <c r="O842" t="s">
        <v>22</v>
      </c>
      <c r="P842" t="s">
        <v>23</v>
      </c>
    </row>
    <row r="843" spans="1:16" x14ac:dyDescent="0.3">
      <c r="A843" t="s">
        <v>2624</v>
      </c>
      <c r="B843" t="s">
        <v>2625</v>
      </c>
      <c r="C843" s="1">
        <v>45418</v>
      </c>
      <c r="D843" s="1">
        <v>45418</v>
      </c>
      <c r="E843">
        <v>20</v>
      </c>
      <c r="F843">
        <v>20</v>
      </c>
      <c r="G843">
        <v>0</v>
      </c>
      <c r="H843">
        <v>0</v>
      </c>
      <c r="I843" t="s">
        <v>2620</v>
      </c>
      <c r="J843" t="s">
        <v>2621</v>
      </c>
      <c r="K843" t="s">
        <v>91</v>
      </c>
      <c r="L843" t="s">
        <v>92</v>
      </c>
      <c r="M843">
        <v>85</v>
      </c>
      <c r="N843" t="s">
        <v>93</v>
      </c>
      <c r="O843" t="s">
        <v>22</v>
      </c>
      <c r="P843" t="s">
        <v>23</v>
      </c>
    </row>
    <row r="844" spans="1:16" x14ac:dyDescent="0.3">
      <c r="A844" t="s">
        <v>2626</v>
      </c>
      <c r="B844" t="s">
        <v>2627</v>
      </c>
      <c r="C844" s="1">
        <v>45418</v>
      </c>
      <c r="D844" s="1">
        <v>45418</v>
      </c>
      <c r="E844">
        <v>20</v>
      </c>
      <c r="F844">
        <v>20</v>
      </c>
      <c r="G844">
        <v>0</v>
      </c>
      <c r="H844">
        <v>0</v>
      </c>
      <c r="I844" t="s">
        <v>96</v>
      </c>
      <c r="J844" t="s">
        <v>97</v>
      </c>
      <c r="K844" t="s">
        <v>19</v>
      </c>
      <c r="L844" t="s">
        <v>20</v>
      </c>
      <c r="M844">
        <v>95</v>
      </c>
      <c r="N844" t="s">
        <v>21</v>
      </c>
      <c r="O844" t="s">
        <v>22</v>
      </c>
      <c r="P844" t="s">
        <v>23</v>
      </c>
    </row>
    <row r="845" spans="1:16" x14ac:dyDescent="0.3">
      <c r="A845" t="s">
        <v>2628</v>
      </c>
      <c r="B845" t="s">
        <v>2629</v>
      </c>
      <c r="C845" s="1">
        <v>45419</v>
      </c>
      <c r="D845" s="1">
        <v>45424</v>
      </c>
      <c r="E845">
        <v>1700</v>
      </c>
      <c r="F845">
        <v>1750</v>
      </c>
      <c r="G845">
        <v>50</v>
      </c>
      <c r="H845">
        <v>5</v>
      </c>
      <c r="I845" t="s">
        <v>108</v>
      </c>
      <c r="J845" t="s">
        <v>109</v>
      </c>
      <c r="K845" t="s">
        <v>278</v>
      </c>
      <c r="L845" t="s">
        <v>1505</v>
      </c>
      <c r="M845">
        <v>80</v>
      </c>
      <c r="N845" t="s">
        <v>93</v>
      </c>
      <c r="O845" t="s">
        <v>22</v>
      </c>
      <c r="P845" t="s">
        <v>23</v>
      </c>
    </row>
    <row r="846" spans="1:16" x14ac:dyDescent="0.3">
      <c r="A846" t="s">
        <v>2630</v>
      </c>
      <c r="B846" t="s">
        <v>2631</v>
      </c>
      <c r="C846" s="1">
        <v>45419</v>
      </c>
      <c r="D846" s="1">
        <v>45419</v>
      </c>
      <c r="E846">
        <v>10</v>
      </c>
      <c r="F846">
        <v>10</v>
      </c>
      <c r="G846">
        <v>0</v>
      </c>
      <c r="H846">
        <v>0</v>
      </c>
      <c r="I846" t="s">
        <v>2632</v>
      </c>
      <c r="J846" t="s">
        <v>2633</v>
      </c>
      <c r="K846" t="s">
        <v>19</v>
      </c>
      <c r="L846" t="s">
        <v>20</v>
      </c>
      <c r="M846">
        <v>95</v>
      </c>
      <c r="N846" t="s">
        <v>21</v>
      </c>
      <c r="O846" t="s">
        <v>22</v>
      </c>
      <c r="P846" t="s">
        <v>23</v>
      </c>
    </row>
    <row r="847" spans="1:16" x14ac:dyDescent="0.3">
      <c r="A847" t="s">
        <v>2634</v>
      </c>
      <c r="B847" t="s">
        <v>2635</v>
      </c>
      <c r="C847" s="1">
        <v>45419</v>
      </c>
      <c r="D847" s="1">
        <v>45419</v>
      </c>
      <c r="E847">
        <v>150</v>
      </c>
      <c r="F847">
        <v>150</v>
      </c>
      <c r="G847">
        <v>0</v>
      </c>
      <c r="H847">
        <v>0</v>
      </c>
      <c r="I847" t="s">
        <v>2632</v>
      </c>
      <c r="J847" t="s">
        <v>2633</v>
      </c>
      <c r="K847" t="s">
        <v>19</v>
      </c>
      <c r="L847" t="s">
        <v>20</v>
      </c>
      <c r="M847">
        <v>95</v>
      </c>
      <c r="N847" t="s">
        <v>21</v>
      </c>
      <c r="O847" t="s">
        <v>22</v>
      </c>
      <c r="P847" t="s">
        <v>23</v>
      </c>
    </row>
    <row r="848" spans="1:16" x14ac:dyDescent="0.3">
      <c r="A848" t="s">
        <v>2636</v>
      </c>
      <c r="B848" t="s">
        <v>2637</v>
      </c>
      <c r="C848" s="1">
        <v>45419</v>
      </c>
      <c r="D848" s="1">
        <v>45419</v>
      </c>
      <c r="E848">
        <v>310</v>
      </c>
      <c r="F848">
        <v>310</v>
      </c>
      <c r="G848">
        <v>0</v>
      </c>
      <c r="H848">
        <v>0</v>
      </c>
      <c r="I848" t="s">
        <v>96</v>
      </c>
      <c r="J848" t="s">
        <v>97</v>
      </c>
      <c r="K848" t="s">
        <v>19</v>
      </c>
      <c r="L848" t="s">
        <v>20</v>
      </c>
      <c r="M848">
        <v>95</v>
      </c>
      <c r="N848" t="s">
        <v>21</v>
      </c>
      <c r="O848" t="s">
        <v>22</v>
      </c>
      <c r="P848" t="s">
        <v>23</v>
      </c>
    </row>
    <row r="849" spans="1:16" x14ac:dyDescent="0.3">
      <c r="A849" t="s">
        <v>2638</v>
      </c>
      <c r="B849" t="s">
        <v>2639</v>
      </c>
      <c r="C849" s="1">
        <v>45419</v>
      </c>
      <c r="D849" s="1">
        <v>45419</v>
      </c>
      <c r="E849">
        <v>30</v>
      </c>
      <c r="F849">
        <v>30</v>
      </c>
      <c r="G849">
        <v>0</v>
      </c>
      <c r="H849">
        <v>0</v>
      </c>
      <c r="I849" t="s">
        <v>2632</v>
      </c>
      <c r="J849" t="s">
        <v>2633</v>
      </c>
      <c r="K849" t="s">
        <v>19</v>
      </c>
      <c r="L849" t="s">
        <v>20</v>
      </c>
      <c r="M849">
        <v>95</v>
      </c>
      <c r="N849" t="s">
        <v>21</v>
      </c>
      <c r="O849" t="s">
        <v>22</v>
      </c>
      <c r="P849" t="s">
        <v>23</v>
      </c>
    </row>
    <row r="850" spans="1:16" x14ac:dyDescent="0.3">
      <c r="A850" t="s">
        <v>2640</v>
      </c>
      <c r="B850" t="s">
        <v>2641</v>
      </c>
      <c r="C850" s="1">
        <v>45419</v>
      </c>
      <c r="D850" s="1">
        <v>45419</v>
      </c>
      <c r="E850">
        <v>1500</v>
      </c>
      <c r="F850">
        <v>1500</v>
      </c>
      <c r="G850">
        <v>0</v>
      </c>
      <c r="H850">
        <v>0</v>
      </c>
      <c r="I850" t="s">
        <v>2632</v>
      </c>
      <c r="J850" t="s">
        <v>2633</v>
      </c>
      <c r="K850" t="s">
        <v>19</v>
      </c>
      <c r="L850" t="s">
        <v>20</v>
      </c>
      <c r="M850">
        <v>95</v>
      </c>
      <c r="N850" t="s">
        <v>21</v>
      </c>
      <c r="O850" t="s">
        <v>22</v>
      </c>
      <c r="P850" t="s">
        <v>23</v>
      </c>
    </row>
    <row r="851" spans="1:16" x14ac:dyDescent="0.3">
      <c r="A851" t="s">
        <v>2642</v>
      </c>
      <c r="B851" t="s">
        <v>2643</v>
      </c>
      <c r="C851" s="1">
        <v>45419</v>
      </c>
      <c r="D851" s="1">
        <v>45419</v>
      </c>
      <c r="E851">
        <v>600</v>
      </c>
      <c r="F851">
        <v>600</v>
      </c>
      <c r="G851">
        <v>0</v>
      </c>
      <c r="H851">
        <v>0</v>
      </c>
      <c r="I851" t="s">
        <v>2644</v>
      </c>
      <c r="J851" t="s">
        <v>2645</v>
      </c>
      <c r="K851" t="s">
        <v>19</v>
      </c>
      <c r="L851" t="s">
        <v>20</v>
      </c>
      <c r="M851">
        <v>95</v>
      </c>
      <c r="N851" t="s">
        <v>21</v>
      </c>
      <c r="O851" t="s">
        <v>22</v>
      </c>
      <c r="P851" t="s">
        <v>23</v>
      </c>
    </row>
    <row r="852" spans="1:16" x14ac:dyDescent="0.3">
      <c r="A852" t="s">
        <v>2646</v>
      </c>
      <c r="B852" t="s">
        <v>2647</v>
      </c>
      <c r="C852" s="1">
        <v>45419</v>
      </c>
      <c r="D852" s="1">
        <v>45419</v>
      </c>
      <c r="E852">
        <v>130</v>
      </c>
      <c r="F852">
        <v>130</v>
      </c>
      <c r="G852">
        <v>0</v>
      </c>
      <c r="H852">
        <v>0</v>
      </c>
      <c r="I852" t="s">
        <v>358</v>
      </c>
      <c r="J852" t="s">
        <v>359</v>
      </c>
      <c r="K852" t="s">
        <v>91</v>
      </c>
      <c r="L852" t="s">
        <v>92</v>
      </c>
      <c r="M852">
        <v>85</v>
      </c>
      <c r="N852" t="s">
        <v>93</v>
      </c>
      <c r="O852" t="s">
        <v>219</v>
      </c>
      <c r="P852" t="s">
        <v>220</v>
      </c>
    </row>
    <row r="853" spans="1:16" x14ac:dyDescent="0.3">
      <c r="A853" t="s">
        <v>2648</v>
      </c>
      <c r="B853" t="s">
        <v>2649</v>
      </c>
      <c r="C853" s="1">
        <v>45419</v>
      </c>
      <c r="D853" s="1">
        <v>45419</v>
      </c>
      <c r="E853">
        <v>130</v>
      </c>
      <c r="F853">
        <v>130</v>
      </c>
      <c r="G853">
        <v>0</v>
      </c>
      <c r="H853">
        <v>0</v>
      </c>
      <c r="I853" t="s">
        <v>358</v>
      </c>
      <c r="J853" t="s">
        <v>359</v>
      </c>
      <c r="K853" t="s">
        <v>19</v>
      </c>
      <c r="L853" t="s">
        <v>20</v>
      </c>
      <c r="M853">
        <v>95</v>
      </c>
      <c r="N853" t="s">
        <v>21</v>
      </c>
      <c r="O853" t="s">
        <v>219</v>
      </c>
      <c r="P853" t="s">
        <v>220</v>
      </c>
    </row>
    <row r="854" spans="1:16" x14ac:dyDescent="0.3">
      <c r="A854" t="s">
        <v>2650</v>
      </c>
      <c r="B854" t="s">
        <v>2651</v>
      </c>
      <c r="C854" s="1">
        <v>45419</v>
      </c>
      <c r="D854" s="1">
        <v>45419</v>
      </c>
      <c r="E854">
        <v>19</v>
      </c>
      <c r="F854">
        <v>19</v>
      </c>
      <c r="G854">
        <v>0</v>
      </c>
      <c r="H854">
        <v>0</v>
      </c>
      <c r="I854" t="s">
        <v>2652</v>
      </c>
      <c r="J854" t="s">
        <v>2653</v>
      </c>
      <c r="K854" t="s">
        <v>19</v>
      </c>
      <c r="L854" t="s">
        <v>20</v>
      </c>
      <c r="M854">
        <v>95</v>
      </c>
      <c r="N854" t="s">
        <v>21</v>
      </c>
      <c r="O854" t="s">
        <v>22</v>
      </c>
      <c r="P854" t="s">
        <v>23</v>
      </c>
    </row>
    <row r="855" spans="1:16" x14ac:dyDescent="0.3">
      <c r="A855" t="s">
        <v>2654</v>
      </c>
      <c r="B855" t="s">
        <v>2655</v>
      </c>
      <c r="C855" s="1">
        <v>45420</v>
      </c>
      <c r="D855" s="1">
        <v>45420</v>
      </c>
      <c r="E855">
        <v>860</v>
      </c>
      <c r="F855">
        <v>860</v>
      </c>
      <c r="G855">
        <v>0</v>
      </c>
      <c r="H855">
        <v>0</v>
      </c>
      <c r="I855" t="s">
        <v>108</v>
      </c>
      <c r="J855" t="s">
        <v>109</v>
      </c>
      <c r="K855" t="s">
        <v>19</v>
      </c>
      <c r="L855" t="s">
        <v>110</v>
      </c>
      <c r="M855">
        <v>100</v>
      </c>
      <c r="N855" t="s">
        <v>21</v>
      </c>
      <c r="O855" t="s">
        <v>22</v>
      </c>
      <c r="P855" t="s">
        <v>23</v>
      </c>
    </row>
    <row r="856" spans="1:16" x14ac:dyDescent="0.3">
      <c r="A856" t="s">
        <v>2656</v>
      </c>
      <c r="B856" t="s">
        <v>2657</v>
      </c>
      <c r="C856" s="1">
        <v>45420</v>
      </c>
      <c r="D856" s="1">
        <v>45420</v>
      </c>
      <c r="E856">
        <v>10</v>
      </c>
      <c r="F856">
        <v>10</v>
      </c>
      <c r="G856">
        <v>0</v>
      </c>
      <c r="H856">
        <v>0</v>
      </c>
      <c r="I856" t="s">
        <v>2658</v>
      </c>
      <c r="J856" t="s">
        <v>2659</v>
      </c>
      <c r="K856" t="s">
        <v>19</v>
      </c>
      <c r="L856" t="s">
        <v>20</v>
      </c>
      <c r="M856">
        <v>95</v>
      </c>
      <c r="N856" t="s">
        <v>21</v>
      </c>
      <c r="O856" t="s">
        <v>22</v>
      </c>
      <c r="P856" t="s">
        <v>23</v>
      </c>
    </row>
    <row r="857" spans="1:16" x14ac:dyDescent="0.3">
      <c r="A857" t="s">
        <v>2660</v>
      </c>
      <c r="B857" t="s">
        <v>2661</v>
      </c>
      <c r="C857" s="1">
        <v>45420</v>
      </c>
      <c r="D857" s="1">
        <v>45420</v>
      </c>
      <c r="E857">
        <v>80</v>
      </c>
      <c r="F857">
        <v>80</v>
      </c>
      <c r="G857">
        <v>0</v>
      </c>
      <c r="H857">
        <v>0</v>
      </c>
      <c r="I857" t="s">
        <v>441</v>
      </c>
      <c r="J857" t="s">
        <v>442</v>
      </c>
      <c r="K857" t="s">
        <v>19</v>
      </c>
      <c r="L857" t="s">
        <v>20</v>
      </c>
      <c r="M857">
        <v>95</v>
      </c>
      <c r="N857" t="s">
        <v>21</v>
      </c>
      <c r="O857" t="s">
        <v>22</v>
      </c>
      <c r="P857" t="s">
        <v>23</v>
      </c>
    </row>
    <row r="858" spans="1:16" x14ac:dyDescent="0.3">
      <c r="A858" t="s">
        <v>2662</v>
      </c>
      <c r="B858" t="s">
        <v>2663</v>
      </c>
      <c r="C858" s="1">
        <v>45420</v>
      </c>
      <c r="D858" s="1">
        <v>45420</v>
      </c>
      <c r="E858">
        <v>50</v>
      </c>
      <c r="F858">
        <v>50</v>
      </c>
      <c r="G858">
        <v>0</v>
      </c>
      <c r="H858">
        <v>0</v>
      </c>
      <c r="I858" t="s">
        <v>441</v>
      </c>
      <c r="J858" t="s">
        <v>442</v>
      </c>
      <c r="K858" t="s">
        <v>19</v>
      </c>
      <c r="L858" t="s">
        <v>20</v>
      </c>
      <c r="M858">
        <v>95</v>
      </c>
      <c r="N858" t="s">
        <v>21</v>
      </c>
      <c r="O858" t="s">
        <v>22</v>
      </c>
      <c r="P858" t="s">
        <v>23</v>
      </c>
    </row>
    <row r="859" spans="1:16" x14ac:dyDescent="0.3">
      <c r="A859" t="s">
        <v>2664</v>
      </c>
      <c r="B859" t="s">
        <v>2665</v>
      </c>
      <c r="C859" s="1">
        <v>45420</v>
      </c>
      <c r="D859" s="1">
        <v>45420</v>
      </c>
      <c r="E859">
        <v>250</v>
      </c>
      <c r="F859">
        <v>250</v>
      </c>
      <c r="G859">
        <v>0</v>
      </c>
      <c r="H859">
        <v>0</v>
      </c>
      <c r="I859" t="s">
        <v>358</v>
      </c>
      <c r="J859" t="s">
        <v>359</v>
      </c>
      <c r="K859" t="s">
        <v>19</v>
      </c>
      <c r="L859" t="s">
        <v>20</v>
      </c>
      <c r="M859">
        <v>95</v>
      </c>
      <c r="N859" t="s">
        <v>21</v>
      </c>
      <c r="O859" t="s">
        <v>22</v>
      </c>
      <c r="P859" t="s">
        <v>23</v>
      </c>
    </row>
    <row r="860" spans="1:16" x14ac:dyDescent="0.3">
      <c r="A860" t="s">
        <v>2666</v>
      </c>
      <c r="B860" t="s">
        <v>2667</v>
      </c>
      <c r="C860" s="1">
        <v>45420</v>
      </c>
      <c r="D860" s="1">
        <v>45420</v>
      </c>
      <c r="E860">
        <v>200</v>
      </c>
      <c r="F860">
        <v>200</v>
      </c>
      <c r="G860">
        <v>0</v>
      </c>
      <c r="H860">
        <v>0</v>
      </c>
      <c r="I860" t="s">
        <v>2668</v>
      </c>
      <c r="J860" t="s">
        <v>2669</v>
      </c>
      <c r="K860" t="s">
        <v>19</v>
      </c>
      <c r="L860" t="s">
        <v>20</v>
      </c>
      <c r="M860">
        <v>95</v>
      </c>
      <c r="N860" t="s">
        <v>21</v>
      </c>
      <c r="O860" t="s">
        <v>22</v>
      </c>
      <c r="P860" t="s">
        <v>23</v>
      </c>
    </row>
    <row r="861" spans="1:16" x14ac:dyDescent="0.3">
      <c r="A861" t="s">
        <v>2670</v>
      </c>
      <c r="B861" t="s">
        <v>2671</v>
      </c>
      <c r="C861" s="1">
        <v>45421</v>
      </c>
      <c r="D861" s="1">
        <v>45421</v>
      </c>
      <c r="E861">
        <v>100</v>
      </c>
      <c r="F861">
        <v>100</v>
      </c>
      <c r="G861">
        <v>0</v>
      </c>
      <c r="H861">
        <v>0</v>
      </c>
      <c r="I861" t="s">
        <v>2672</v>
      </c>
      <c r="J861" t="s">
        <v>2673</v>
      </c>
      <c r="K861" t="s">
        <v>19</v>
      </c>
      <c r="L861" t="s">
        <v>20</v>
      </c>
      <c r="M861">
        <v>95</v>
      </c>
      <c r="N861" t="s">
        <v>21</v>
      </c>
      <c r="O861" t="s">
        <v>22</v>
      </c>
      <c r="P861" t="s">
        <v>23</v>
      </c>
    </row>
    <row r="862" spans="1:16" x14ac:dyDescent="0.3">
      <c r="A862" t="s">
        <v>2674</v>
      </c>
      <c r="B862" t="s">
        <v>2675</v>
      </c>
      <c r="C862" s="1">
        <v>45421</v>
      </c>
      <c r="D862" s="1">
        <v>45421</v>
      </c>
      <c r="E862">
        <v>30</v>
      </c>
      <c r="F862">
        <v>30</v>
      </c>
      <c r="G862">
        <v>0</v>
      </c>
      <c r="H862">
        <v>0</v>
      </c>
      <c r="I862" t="s">
        <v>2672</v>
      </c>
      <c r="J862" t="s">
        <v>2673</v>
      </c>
      <c r="K862" t="s">
        <v>91</v>
      </c>
      <c r="L862" t="s">
        <v>92</v>
      </c>
      <c r="M862">
        <v>85</v>
      </c>
      <c r="N862" t="s">
        <v>93</v>
      </c>
      <c r="O862" t="s">
        <v>219</v>
      </c>
      <c r="P862" t="s">
        <v>220</v>
      </c>
    </row>
    <row r="863" spans="1:16" x14ac:dyDescent="0.3">
      <c r="A863" t="s">
        <v>2676</v>
      </c>
      <c r="B863" t="s">
        <v>2677</v>
      </c>
      <c r="C863" s="1">
        <v>45421</v>
      </c>
      <c r="D863" s="1">
        <v>45421</v>
      </c>
      <c r="E863">
        <v>20</v>
      </c>
      <c r="F863">
        <v>20</v>
      </c>
      <c r="G863">
        <v>0</v>
      </c>
      <c r="H863">
        <v>0</v>
      </c>
      <c r="I863" t="s">
        <v>2678</v>
      </c>
      <c r="J863" t="s">
        <v>2679</v>
      </c>
      <c r="K863" t="s">
        <v>91</v>
      </c>
      <c r="L863" t="s">
        <v>92</v>
      </c>
      <c r="M863">
        <v>85</v>
      </c>
      <c r="N863" t="s">
        <v>93</v>
      </c>
      <c r="O863" t="s">
        <v>22</v>
      </c>
      <c r="P863" t="s">
        <v>23</v>
      </c>
    </row>
    <row r="864" spans="1:16" x14ac:dyDescent="0.3">
      <c r="A864" t="s">
        <v>2680</v>
      </c>
      <c r="B864" t="s">
        <v>2681</v>
      </c>
      <c r="C864" s="1">
        <v>45421</v>
      </c>
      <c r="D864" s="1">
        <v>45421</v>
      </c>
      <c r="E864">
        <v>25</v>
      </c>
      <c r="F864">
        <v>25</v>
      </c>
      <c r="G864">
        <v>0</v>
      </c>
      <c r="H864">
        <v>0</v>
      </c>
      <c r="I864" t="s">
        <v>81</v>
      </c>
      <c r="J864" t="s">
        <v>82</v>
      </c>
      <c r="K864" t="s">
        <v>19</v>
      </c>
      <c r="L864" t="s">
        <v>20</v>
      </c>
      <c r="M864">
        <v>95</v>
      </c>
      <c r="N864" t="s">
        <v>21</v>
      </c>
      <c r="O864" t="s">
        <v>22</v>
      </c>
      <c r="P864" t="s">
        <v>23</v>
      </c>
    </row>
    <row r="865" spans="1:16" x14ac:dyDescent="0.3">
      <c r="A865" t="s">
        <v>2682</v>
      </c>
      <c r="B865" t="s">
        <v>2683</v>
      </c>
      <c r="C865" s="1">
        <v>45421</v>
      </c>
      <c r="D865" s="1">
        <v>45421</v>
      </c>
      <c r="E865">
        <v>20</v>
      </c>
      <c r="F865">
        <v>20</v>
      </c>
      <c r="G865">
        <v>0</v>
      </c>
      <c r="H865">
        <v>0</v>
      </c>
      <c r="I865" t="s">
        <v>2672</v>
      </c>
      <c r="J865" t="s">
        <v>2673</v>
      </c>
      <c r="K865" t="s">
        <v>19</v>
      </c>
      <c r="L865" t="s">
        <v>20</v>
      </c>
      <c r="M865">
        <v>95</v>
      </c>
      <c r="N865" t="s">
        <v>21</v>
      </c>
      <c r="O865" t="s">
        <v>22</v>
      </c>
      <c r="P865" t="s">
        <v>23</v>
      </c>
    </row>
    <row r="866" spans="1:16" x14ac:dyDescent="0.3">
      <c r="A866" t="s">
        <v>2684</v>
      </c>
      <c r="B866" t="s">
        <v>2685</v>
      </c>
      <c r="C866" s="1">
        <v>45421</v>
      </c>
      <c r="D866" s="1">
        <v>45421</v>
      </c>
      <c r="E866">
        <v>900</v>
      </c>
      <c r="F866">
        <v>900</v>
      </c>
      <c r="G866">
        <v>0</v>
      </c>
      <c r="H866">
        <v>0</v>
      </c>
      <c r="I866" t="s">
        <v>2686</v>
      </c>
      <c r="J866" t="s">
        <v>2687</v>
      </c>
      <c r="K866" t="s">
        <v>19</v>
      </c>
      <c r="L866" t="s">
        <v>20</v>
      </c>
      <c r="M866">
        <v>95</v>
      </c>
      <c r="N866" t="s">
        <v>21</v>
      </c>
      <c r="O866" t="s">
        <v>22</v>
      </c>
      <c r="P866" t="s">
        <v>23</v>
      </c>
    </row>
    <row r="867" spans="1:16" x14ac:dyDescent="0.3">
      <c r="A867" t="s">
        <v>2688</v>
      </c>
      <c r="B867" t="s">
        <v>2689</v>
      </c>
      <c r="C867" s="1">
        <v>45421</v>
      </c>
      <c r="D867" s="1">
        <v>45421</v>
      </c>
      <c r="E867">
        <v>50</v>
      </c>
      <c r="F867">
        <v>50</v>
      </c>
      <c r="G867">
        <v>0</v>
      </c>
      <c r="H867">
        <v>0</v>
      </c>
      <c r="I867" t="s">
        <v>89</v>
      </c>
      <c r="J867" t="s">
        <v>90</v>
      </c>
      <c r="K867" t="s">
        <v>19</v>
      </c>
      <c r="L867" t="s">
        <v>20</v>
      </c>
      <c r="M867">
        <v>95</v>
      </c>
      <c r="N867" t="s">
        <v>21</v>
      </c>
      <c r="O867" t="s">
        <v>22</v>
      </c>
      <c r="P867" t="s">
        <v>23</v>
      </c>
    </row>
    <row r="868" spans="1:16" x14ac:dyDescent="0.3">
      <c r="A868" t="s">
        <v>2690</v>
      </c>
      <c r="B868" t="s">
        <v>2691</v>
      </c>
      <c r="C868" s="1">
        <v>45421</v>
      </c>
      <c r="D868" s="1">
        <v>45421</v>
      </c>
      <c r="E868">
        <v>19</v>
      </c>
      <c r="F868">
        <v>19</v>
      </c>
      <c r="G868">
        <v>0</v>
      </c>
      <c r="H868">
        <v>0</v>
      </c>
      <c r="I868" t="s">
        <v>2652</v>
      </c>
      <c r="J868" t="s">
        <v>2653</v>
      </c>
      <c r="K868" t="s">
        <v>19</v>
      </c>
      <c r="L868" t="s">
        <v>20</v>
      </c>
      <c r="M868">
        <v>95</v>
      </c>
      <c r="N868" t="s">
        <v>21</v>
      </c>
      <c r="O868" t="s">
        <v>22</v>
      </c>
      <c r="P868" t="s">
        <v>23</v>
      </c>
    </row>
    <row r="869" spans="1:16" x14ac:dyDescent="0.3">
      <c r="A869" t="s">
        <v>2692</v>
      </c>
      <c r="B869" t="s">
        <v>2693</v>
      </c>
      <c r="C869" s="1">
        <v>45422</v>
      </c>
      <c r="D869" s="1">
        <v>45422</v>
      </c>
      <c r="E869">
        <v>4000</v>
      </c>
      <c r="F869">
        <v>4000</v>
      </c>
      <c r="G869">
        <v>0</v>
      </c>
      <c r="H869">
        <v>0</v>
      </c>
      <c r="I869" t="s">
        <v>2694</v>
      </c>
      <c r="J869" t="s">
        <v>2695</v>
      </c>
      <c r="K869" t="s">
        <v>19</v>
      </c>
      <c r="L869" t="s">
        <v>20</v>
      </c>
      <c r="M869">
        <v>95</v>
      </c>
      <c r="N869" t="s">
        <v>21</v>
      </c>
      <c r="O869" t="s">
        <v>22</v>
      </c>
      <c r="P869" t="s">
        <v>23</v>
      </c>
    </row>
    <row r="870" spans="1:16" x14ac:dyDescent="0.3">
      <c r="A870" t="s">
        <v>2696</v>
      </c>
      <c r="B870" t="s">
        <v>2697</v>
      </c>
      <c r="C870" s="1">
        <v>45422</v>
      </c>
      <c r="D870" s="1">
        <v>45426</v>
      </c>
      <c r="E870">
        <v>20</v>
      </c>
      <c r="F870">
        <v>10</v>
      </c>
      <c r="G870">
        <v>-10</v>
      </c>
      <c r="H870">
        <v>4</v>
      </c>
      <c r="I870" t="s">
        <v>81</v>
      </c>
      <c r="J870" t="s">
        <v>82</v>
      </c>
      <c r="K870" t="s">
        <v>278</v>
      </c>
      <c r="L870" t="s">
        <v>623</v>
      </c>
      <c r="M870">
        <v>80</v>
      </c>
      <c r="N870" t="s">
        <v>93</v>
      </c>
      <c r="O870" t="s">
        <v>22</v>
      </c>
      <c r="P870" t="s">
        <v>23</v>
      </c>
    </row>
    <row r="871" spans="1:16" x14ac:dyDescent="0.3">
      <c r="A871" t="s">
        <v>2698</v>
      </c>
      <c r="B871" t="s">
        <v>2699</v>
      </c>
      <c r="C871" s="1">
        <v>45422</v>
      </c>
      <c r="D871" s="1">
        <v>45422</v>
      </c>
      <c r="E871">
        <v>2000</v>
      </c>
      <c r="F871">
        <v>2000</v>
      </c>
      <c r="G871">
        <v>0</v>
      </c>
      <c r="H871">
        <v>0</v>
      </c>
      <c r="I871" t="s">
        <v>2700</v>
      </c>
      <c r="J871" t="s">
        <v>2701</v>
      </c>
      <c r="K871" t="s">
        <v>19</v>
      </c>
      <c r="L871" t="s">
        <v>20</v>
      </c>
      <c r="M871">
        <v>95</v>
      </c>
      <c r="N871" t="s">
        <v>21</v>
      </c>
      <c r="O871" t="s">
        <v>22</v>
      </c>
      <c r="P871" t="s">
        <v>23</v>
      </c>
    </row>
    <row r="872" spans="1:16" x14ac:dyDescent="0.3">
      <c r="A872" t="s">
        <v>2702</v>
      </c>
      <c r="B872" t="s">
        <v>2703</v>
      </c>
      <c r="C872" s="1">
        <v>45422</v>
      </c>
      <c r="D872" s="1">
        <v>45423</v>
      </c>
      <c r="E872">
        <v>80</v>
      </c>
      <c r="F872">
        <v>80</v>
      </c>
      <c r="G872">
        <v>0</v>
      </c>
      <c r="H872">
        <v>1</v>
      </c>
      <c r="I872" t="s">
        <v>441</v>
      </c>
      <c r="J872" t="s">
        <v>442</v>
      </c>
      <c r="K872" t="s">
        <v>235</v>
      </c>
      <c r="L872" t="s">
        <v>265</v>
      </c>
      <c r="M872">
        <v>80</v>
      </c>
      <c r="N872" t="s">
        <v>93</v>
      </c>
      <c r="O872" t="s">
        <v>22</v>
      </c>
      <c r="P872" t="s">
        <v>23</v>
      </c>
    </row>
    <row r="873" spans="1:16" x14ac:dyDescent="0.3">
      <c r="A873" t="s">
        <v>2704</v>
      </c>
      <c r="B873" t="s">
        <v>2705</v>
      </c>
      <c r="C873" s="1">
        <v>45422</v>
      </c>
      <c r="D873" s="1">
        <v>45422</v>
      </c>
      <c r="E873">
        <v>130</v>
      </c>
      <c r="F873">
        <v>130</v>
      </c>
      <c r="G873">
        <v>0</v>
      </c>
      <c r="H873">
        <v>0</v>
      </c>
      <c r="I873" t="s">
        <v>358</v>
      </c>
      <c r="J873" t="s">
        <v>359</v>
      </c>
      <c r="K873" t="s">
        <v>19</v>
      </c>
      <c r="L873" t="s">
        <v>20</v>
      </c>
      <c r="M873">
        <v>95</v>
      </c>
      <c r="N873" t="s">
        <v>21</v>
      </c>
      <c r="O873" t="s">
        <v>22</v>
      </c>
      <c r="P873" t="s">
        <v>23</v>
      </c>
    </row>
    <row r="874" spans="1:16" x14ac:dyDescent="0.3">
      <c r="A874" t="s">
        <v>2706</v>
      </c>
      <c r="B874" t="s">
        <v>2707</v>
      </c>
      <c r="C874" s="1">
        <v>45423</v>
      </c>
      <c r="D874" s="1">
        <v>45423</v>
      </c>
      <c r="E874">
        <v>570</v>
      </c>
      <c r="F874">
        <v>570</v>
      </c>
      <c r="G874">
        <v>0</v>
      </c>
      <c r="H874">
        <v>0</v>
      </c>
      <c r="I874" t="s">
        <v>108</v>
      </c>
      <c r="J874" t="s">
        <v>109</v>
      </c>
      <c r="K874" t="s">
        <v>19</v>
      </c>
      <c r="L874" t="s">
        <v>110</v>
      </c>
      <c r="M874">
        <v>100</v>
      </c>
      <c r="N874" t="s">
        <v>21</v>
      </c>
      <c r="O874" t="s">
        <v>22</v>
      </c>
      <c r="P874" t="s">
        <v>23</v>
      </c>
    </row>
    <row r="875" spans="1:16" x14ac:dyDescent="0.3">
      <c r="A875" t="s">
        <v>2708</v>
      </c>
      <c r="B875" t="s">
        <v>2709</v>
      </c>
      <c r="C875" s="1">
        <v>45423</v>
      </c>
      <c r="D875" s="1">
        <v>45423</v>
      </c>
      <c r="E875">
        <v>10</v>
      </c>
      <c r="F875">
        <v>10</v>
      </c>
      <c r="G875">
        <v>0</v>
      </c>
      <c r="H875">
        <v>0</v>
      </c>
      <c r="I875" t="s">
        <v>2710</v>
      </c>
      <c r="J875" t="s">
        <v>2711</v>
      </c>
      <c r="K875" t="s">
        <v>19</v>
      </c>
      <c r="L875" t="s">
        <v>20</v>
      </c>
      <c r="M875">
        <v>95</v>
      </c>
      <c r="N875" t="s">
        <v>21</v>
      </c>
      <c r="O875" t="s">
        <v>22</v>
      </c>
      <c r="P875" t="s">
        <v>23</v>
      </c>
    </row>
    <row r="876" spans="1:16" x14ac:dyDescent="0.3">
      <c r="A876" t="s">
        <v>2712</v>
      </c>
      <c r="B876" t="s">
        <v>2713</v>
      </c>
      <c r="C876" s="1">
        <v>45423</v>
      </c>
      <c r="D876" s="1">
        <v>45423</v>
      </c>
      <c r="E876">
        <v>130</v>
      </c>
      <c r="F876">
        <v>130</v>
      </c>
      <c r="G876">
        <v>0</v>
      </c>
      <c r="H876">
        <v>0</v>
      </c>
      <c r="I876" t="s">
        <v>358</v>
      </c>
      <c r="J876" t="s">
        <v>359</v>
      </c>
      <c r="K876" t="s">
        <v>19</v>
      </c>
      <c r="L876" t="s">
        <v>20</v>
      </c>
      <c r="M876">
        <v>95</v>
      </c>
      <c r="N876" t="s">
        <v>21</v>
      </c>
      <c r="O876" t="s">
        <v>22</v>
      </c>
      <c r="P876" t="s">
        <v>23</v>
      </c>
    </row>
    <row r="877" spans="1:16" x14ac:dyDescent="0.3">
      <c r="A877" t="s">
        <v>2714</v>
      </c>
      <c r="B877" t="s">
        <v>2715</v>
      </c>
      <c r="C877" s="1">
        <v>45423</v>
      </c>
      <c r="D877" s="1">
        <v>45437</v>
      </c>
      <c r="E877">
        <v>80</v>
      </c>
      <c r="F877">
        <v>80</v>
      </c>
      <c r="G877">
        <v>0</v>
      </c>
      <c r="H877">
        <v>14</v>
      </c>
      <c r="I877" t="s">
        <v>441</v>
      </c>
      <c r="J877" t="s">
        <v>442</v>
      </c>
      <c r="K877" t="s">
        <v>91</v>
      </c>
      <c r="L877" t="s">
        <v>1494</v>
      </c>
      <c r="M877">
        <v>60</v>
      </c>
      <c r="N877" t="s">
        <v>164</v>
      </c>
      <c r="O877" t="s">
        <v>22</v>
      </c>
      <c r="P877" t="s">
        <v>23</v>
      </c>
    </row>
    <row r="878" spans="1:16" x14ac:dyDescent="0.3">
      <c r="A878" t="s">
        <v>2716</v>
      </c>
      <c r="B878" t="s">
        <v>2717</v>
      </c>
      <c r="C878" s="1">
        <v>45423</v>
      </c>
      <c r="D878" s="1">
        <v>45423</v>
      </c>
      <c r="E878">
        <v>1000</v>
      </c>
      <c r="F878">
        <v>1000</v>
      </c>
      <c r="G878">
        <v>0</v>
      </c>
      <c r="H878">
        <v>0</v>
      </c>
      <c r="I878" t="s">
        <v>2718</v>
      </c>
      <c r="J878" t="s">
        <v>2719</v>
      </c>
      <c r="K878" t="s">
        <v>19</v>
      </c>
      <c r="L878" t="s">
        <v>20</v>
      </c>
      <c r="M878">
        <v>95</v>
      </c>
      <c r="N878" t="s">
        <v>21</v>
      </c>
      <c r="O878" t="s">
        <v>22</v>
      </c>
      <c r="P878" t="s">
        <v>23</v>
      </c>
    </row>
    <row r="879" spans="1:16" x14ac:dyDescent="0.3">
      <c r="A879" t="s">
        <v>2720</v>
      </c>
      <c r="B879" t="s">
        <v>2721</v>
      </c>
      <c r="C879" s="1">
        <v>45423</v>
      </c>
      <c r="D879" s="1">
        <v>45423</v>
      </c>
      <c r="E879">
        <v>241</v>
      </c>
      <c r="F879">
        <v>240.9</v>
      </c>
      <c r="G879">
        <v>0</v>
      </c>
      <c r="H879">
        <v>0</v>
      </c>
      <c r="I879" t="s">
        <v>2652</v>
      </c>
      <c r="J879" t="s">
        <v>2653</v>
      </c>
      <c r="K879" t="s">
        <v>19</v>
      </c>
      <c r="L879" t="s">
        <v>20</v>
      </c>
      <c r="M879">
        <v>95</v>
      </c>
      <c r="N879" t="s">
        <v>21</v>
      </c>
      <c r="O879" t="s">
        <v>22</v>
      </c>
      <c r="P879" t="s">
        <v>23</v>
      </c>
    </row>
    <row r="880" spans="1:16" x14ac:dyDescent="0.3">
      <c r="A880" t="s">
        <v>2722</v>
      </c>
      <c r="B880" t="s">
        <v>2723</v>
      </c>
      <c r="C880" s="1">
        <v>45424</v>
      </c>
      <c r="D880" s="1">
        <v>45434</v>
      </c>
      <c r="E880">
        <v>1750</v>
      </c>
      <c r="F880">
        <v>2050</v>
      </c>
      <c r="G880">
        <v>300</v>
      </c>
      <c r="H880">
        <v>10</v>
      </c>
      <c r="I880" t="s">
        <v>108</v>
      </c>
      <c r="J880" t="s">
        <v>109</v>
      </c>
      <c r="K880" t="s">
        <v>278</v>
      </c>
      <c r="L880" t="s">
        <v>2724</v>
      </c>
      <c r="M880">
        <v>80</v>
      </c>
      <c r="N880" t="s">
        <v>93</v>
      </c>
      <c r="O880" t="s">
        <v>22</v>
      </c>
      <c r="P880" t="s">
        <v>23</v>
      </c>
    </row>
    <row r="881" spans="1:16" x14ac:dyDescent="0.3">
      <c r="A881" t="s">
        <v>2725</v>
      </c>
      <c r="B881" t="s">
        <v>2726</v>
      </c>
      <c r="C881" s="1">
        <v>45424</v>
      </c>
      <c r="D881" s="1">
        <v>45424</v>
      </c>
      <c r="E881">
        <v>10</v>
      </c>
      <c r="F881">
        <v>10</v>
      </c>
      <c r="G881">
        <v>0</v>
      </c>
      <c r="H881">
        <v>0</v>
      </c>
      <c r="I881" t="s">
        <v>2727</v>
      </c>
      <c r="J881" t="s">
        <v>2728</v>
      </c>
      <c r="K881" t="s">
        <v>19</v>
      </c>
      <c r="L881" t="s">
        <v>20</v>
      </c>
      <c r="M881">
        <v>95</v>
      </c>
      <c r="N881" t="s">
        <v>21</v>
      </c>
      <c r="O881" t="s">
        <v>22</v>
      </c>
      <c r="P881" t="s">
        <v>23</v>
      </c>
    </row>
    <row r="882" spans="1:16" x14ac:dyDescent="0.3">
      <c r="A882" t="s">
        <v>2729</v>
      </c>
      <c r="B882" t="s">
        <v>2730</v>
      </c>
      <c r="C882" s="1">
        <v>45424</v>
      </c>
      <c r="D882" s="1">
        <v>45424</v>
      </c>
      <c r="E882">
        <v>70</v>
      </c>
      <c r="F882">
        <v>70</v>
      </c>
      <c r="G882">
        <v>0</v>
      </c>
      <c r="H882">
        <v>0</v>
      </c>
      <c r="I882" t="s">
        <v>2731</v>
      </c>
      <c r="J882" t="s">
        <v>2732</v>
      </c>
      <c r="K882" t="s">
        <v>19</v>
      </c>
      <c r="L882" t="s">
        <v>20</v>
      </c>
      <c r="M882">
        <v>95</v>
      </c>
      <c r="N882" t="s">
        <v>21</v>
      </c>
      <c r="O882" t="s">
        <v>22</v>
      </c>
      <c r="P882" t="s">
        <v>23</v>
      </c>
    </row>
    <row r="883" spans="1:16" x14ac:dyDescent="0.3">
      <c r="A883" t="s">
        <v>2733</v>
      </c>
      <c r="B883" t="s">
        <v>2734</v>
      </c>
      <c r="C883" s="1">
        <v>45424</v>
      </c>
      <c r="D883" s="1">
        <v>45424</v>
      </c>
      <c r="E883">
        <v>200</v>
      </c>
      <c r="F883">
        <v>200</v>
      </c>
      <c r="G883">
        <v>0</v>
      </c>
      <c r="H883">
        <v>0</v>
      </c>
      <c r="I883" t="s">
        <v>2551</v>
      </c>
      <c r="J883" t="s">
        <v>2552</v>
      </c>
      <c r="K883" t="s">
        <v>19</v>
      </c>
      <c r="L883" t="s">
        <v>20</v>
      </c>
      <c r="M883">
        <v>95</v>
      </c>
      <c r="N883" t="s">
        <v>21</v>
      </c>
      <c r="O883" t="s">
        <v>22</v>
      </c>
      <c r="P883" t="s">
        <v>23</v>
      </c>
    </row>
    <row r="884" spans="1:16" x14ac:dyDescent="0.3">
      <c r="A884" t="s">
        <v>2735</v>
      </c>
      <c r="B884" t="s">
        <v>2736</v>
      </c>
      <c r="C884" s="1">
        <v>45424</v>
      </c>
      <c r="D884" s="1">
        <v>45424</v>
      </c>
      <c r="E884">
        <v>205</v>
      </c>
      <c r="F884">
        <v>205</v>
      </c>
      <c r="G884">
        <v>0</v>
      </c>
      <c r="H884">
        <v>0</v>
      </c>
      <c r="I884" t="s">
        <v>81</v>
      </c>
      <c r="J884" t="s">
        <v>82</v>
      </c>
      <c r="K884" t="s">
        <v>19</v>
      </c>
      <c r="L884" t="s">
        <v>20</v>
      </c>
      <c r="M884">
        <v>95</v>
      </c>
      <c r="N884" t="s">
        <v>21</v>
      </c>
      <c r="O884" t="s">
        <v>22</v>
      </c>
      <c r="P884" t="s">
        <v>23</v>
      </c>
    </row>
    <row r="885" spans="1:16" x14ac:dyDescent="0.3">
      <c r="A885" t="s">
        <v>2737</v>
      </c>
      <c r="B885" t="s">
        <v>2738</v>
      </c>
      <c r="C885" s="1">
        <v>45425</v>
      </c>
      <c r="D885" s="1">
        <v>45425</v>
      </c>
      <c r="E885">
        <v>20</v>
      </c>
      <c r="F885">
        <v>20</v>
      </c>
      <c r="G885">
        <v>0</v>
      </c>
      <c r="H885">
        <v>0</v>
      </c>
      <c r="I885" t="s">
        <v>2739</v>
      </c>
      <c r="J885" t="s">
        <v>2740</v>
      </c>
      <c r="K885" t="s">
        <v>19</v>
      </c>
      <c r="L885" t="s">
        <v>20</v>
      </c>
      <c r="M885">
        <v>95</v>
      </c>
      <c r="N885" t="s">
        <v>21</v>
      </c>
      <c r="O885" t="s">
        <v>22</v>
      </c>
      <c r="P885" t="s">
        <v>23</v>
      </c>
    </row>
    <row r="886" spans="1:16" x14ac:dyDescent="0.3">
      <c r="A886" t="s">
        <v>2741</v>
      </c>
      <c r="B886" t="s">
        <v>2742</v>
      </c>
      <c r="C886" s="1">
        <v>45425</v>
      </c>
      <c r="D886" s="1">
        <v>45425</v>
      </c>
      <c r="E886">
        <v>11530</v>
      </c>
      <c r="F886">
        <v>11530</v>
      </c>
      <c r="G886">
        <v>0</v>
      </c>
      <c r="H886">
        <v>0</v>
      </c>
      <c r="I886" t="s">
        <v>108</v>
      </c>
      <c r="J886" t="s">
        <v>109</v>
      </c>
      <c r="K886" t="s">
        <v>19</v>
      </c>
      <c r="L886" t="s">
        <v>110</v>
      </c>
      <c r="M886">
        <v>100</v>
      </c>
      <c r="N886" t="s">
        <v>21</v>
      </c>
      <c r="O886" t="s">
        <v>22</v>
      </c>
      <c r="P886" t="s">
        <v>23</v>
      </c>
    </row>
    <row r="887" spans="1:16" x14ac:dyDescent="0.3">
      <c r="A887" t="s">
        <v>2743</v>
      </c>
      <c r="B887" t="s">
        <v>2744</v>
      </c>
      <c r="C887" s="1">
        <v>45425</v>
      </c>
      <c r="D887" s="1">
        <v>45425</v>
      </c>
      <c r="E887">
        <v>40</v>
      </c>
      <c r="F887">
        <v>40</v>
      </c>
      <c r="G887">
        <v>0</v>
      </c>
      <c r="H887">
        <v>0</v>
      </c>
      <c r="I887" t="s">
        <v>2745</v>
      </c>
      <c r="J887" t="s">
        <v>2746</v>
      </c>
      <c r="K887" t="s">
        <v>91</v>
      </c>
      <c r="L887" t="s">
        <v>92</v>
      </c>
      <c r="M887">
        <v>85</v>
      </c>
      <c r="N887" t="s">
        <v>93</v>
      </c>
      <c r="O887" t="s">
        <v>22</v>
      </c>
      <c r="P887" t="s">
        <v>23</v>
      </c>
    </row>
    <row r="888" spans="1:16" x14ac:dyDescent="0.3">
      <c r="A888" t="s">
        <v>2747</v>
      </c>
      <c r="B888" t="s">
        <v>2748</v>
      </c>
      <c r="C888" s="1">
        <v>45425</v>
      </c>
      <c r="D888" s="1">
        <v>45425</v>
      </c>
      <c r="E888">
        <v>30</v>
      </c>
      <c r="F888">
        <v>30</v>
      </c>
      <c r="G888">
        <v>0</v>
      </c>
      <c r="H888">
        <v>0</v>
      </c>
      <c r="I888" t="s">
        <v>2739</v>
      </c>
      <c r="J888" t="s">
        <v>2740</v>
      </c>
      <c r="K888" t="s">
        <v>19</v>
      </c>
      <c r="L888" t="s">
        <v>20</v>
      </c>
      <c r="M888">
        <v>95</v>
      </c>
      <c r="N888" t="s">
        <v>21</v>
      </c>
      <c r="O888" t="s">
        <v>22</v>
      </c>
      <c r="P888" t="s">
        <v>23</v>
      </c>
    </row>
    <row r="889" spans="1:16" x14ac:dyDescent="0.3">
      <c r="A889" t="s">
        <v>2749</v>
      </c>
      <c r="B889" t="s">
        <v>2750</v>
      </c>
      <c r="C889" s="1">
        <v>45425</v>
      </c>
      <c r="D889" s="1">
        <v>45425</v>
      </c>
      <c r="E889">
        <v>40</v>
      </c>
      <c r="F889">
        <v>40</v>
      </c>
      <c r="G889">
        <v>0</v>
      </c>
      <c r="H889">
        <v>0</v>
      </c>
      <c r="I889" t="s">
        <v>2739</v>
      </c>
      <c r="J889" t="s">
        <v>2740</v>
      </c>
      <c r="K889" t="s">
        <v>19</v>
      </c>
      <c r="L889" t="s">
        <v>20</v>
      </c>
      <c r="M889">
        <v>95</v>
      </c>
      <c r="N889" t="s">
        <v>21</v>
      </c>
      <c r="O889" t="s">
        <v>22</v>
      </c>
      <c r="P889" t="s">
        <v>23</v>
      </c>
    </row>
    <row r="890" spans="1:16" x14ac:dyDescent="0.3">
      <c r="A890" t="s">
        <v>2751</v>
      </c>
      <c r="B890" t="s">
        <v>2752</v>
      </c>
      <c r="C890" s="1">
        <v>45426</v>
      </c>
      <c r="D890" s="1">
        <v>45426</v>
      </c>
      <c r="E890">
        <v>10</v>
      </c>
      <c r="F890">
        <v>40</v>
      </c>
      <c r="G890">
        <v>30</v>
      </c>
      <c r="H890">
        <v>0</v>
      </c>
      <c r="I890" t="s">
        <v>81</v>
      </c>
      <c r="J890" t="s">
        <v>82</v>
      </c>
      <c r="K890" t="s">
        <v>278</v>
      </c>
      <c r="L890" t="s">
        <v>2753</v>
      </c>
      <c r="M890">
        <v>80</v>
      </c>
      <c r="N890" t="s">
        <v>93</v>
      </c>
      <c r="O890" t="s">
        <v>22</v>
      </c>
      <c r="P890" t="s">
        <v>23</v>
      </c>
    </row>
    <row r="891" spans="1:16" x14ac:dyDescent="0.3">
      <c r="A891" t="s">
        <v>2754</v>
      </c>
      <c r="B891" t="s">
        <v>2755</v>
      </c>
      <c r="C891" s="1">
        <v>45426</v>
      </c>
      <c r="D891" s="1">
        <v>45427</v>
      </c>
      <c r="E891">
        <v>10000</v>
      </c>
      <c r="F891">
        <v>10000</v>
      </c>
      <c r="G891">
        <v>0</v>
      </c>
      <c r="H891">
        <v>1</v>
      </c>
      <c r="I891" t="s">
        <v>2756</v>
      </c>
      <c r="J891" t="s">
        <v>2757</v>
      </c>
      <c r="K891" t="s">
        <v>235</v>
      </c>
      <c r="L891" t="s">
        <v>265</v>
      </c>
      <c r="M891">
        <v>80</v>
      </c>
      <c r="N891" t="s">
        <v>93</v>
      </c>
      <c r="O891" t="s">
        <v>22</v>
      </c>
      <c r="P891" t="s">
        <v>23</v>
      </c>
    </row>
    <row r="892" spans="1:16" x14ac:dyDescent="0.3">
      <c r="A892" t="s">
        <v>2758</v>
      </c>
      <c r="B892" t="s">
        <v>2759</v>
      </c>
      <c r="C892" s="1">
        <v>45426</v>
      </c>
      <c r="D892" s="1">
        <v>45177</v>
      </c>
      <c r="E892">
        <v>40</v>
      </c>
      <c r="F892">
        <v>220</v>
      </c>
      <c r="G892">
        <v>180</v>
      </c>
      <c r="H892">
        <v>-249</v>
      </c>
      <c r="I892" t="s">
        <v>81</v>
      </c>
      <c r="J892" t="s">
        <v>82</v>
      </c>
      <c r="K892" t="s">
        <v>278</v>
      </c>
      <c r="L892" t="s">
        <v>2760</v>
      </c>
      <c r="M892">
        <v>80</v>
      </c>
      <c r="N892" t="s">
        <v>93</v>
      </c>
      <c r="O892" t="s">
        <v>219</v>
      </c>
      <c r="P892" t="s">
        <v>220</v>
      </c>
    </row>
    <row r="893" spans="1:16" x14ac:dyDescent="0.3">
      <c r="A893" t="s">
        <v>2761</v>
      </c>
      <c r="B893" t="s">
        <v>2762</v>
      </c>
      <c r="C893" s="1">
        <v>45426</v>
      </c>
      <c r="D893" s="1">
        <v>45426</v>
      </c>
      <c r="E893">
        <v>600</v>
      </c>
      <c r="F893">
        <v>600</v>
      </c>
      <c r="G893">
        <v>0</v>
      </c>
      <c r="H893">
        <v>0</v>
      </c>
      <c r="I893" t="s">
        <v>2551</v>
      </c>
      <c r="J893" t="s">
        <v>2552</v>
      </c>
      <c r="K893" t="s">
        <v>19</v>
      </c>
      <c r="L893" t="s">
        <v>20</v>
      </c>
      <c r="M893">
        <v>95</v>
      </c>
      <c r="N893" t="s">
        <v>21</v>
      </c>
      <c r="O893" t="s">
        <v>22</v>
      </c>
      <c r="P893" t="s">
        <v>23</v>
      </c>
    </row>
    <row r="894" spans="1:16" x14ac:dyDescent="0.3">
      <c r="A894" t="s">
        <v>2763</v>
      </c>
      <c r="B894" t="s">
        <v>161</v>
      </c>
      <c r="C894" s="1">
        <v>45426</v>
      </c>
      <c r="D894" s="1"/>
      <c r="E894">
        <v>500</v>
      </c>
      <c r="I894" t="s">
        <v>81</v>
      </c>
      <c r="J894" t="s">
        <v>161</v>
      </c>
      <c r="K894" t="s">
        <v>162</v>
      </c>
      <c r="L894" t="s">
        <v>163</v>
      </c>
      <c r="M894">
        <v>0</v>
      </c>
      <c r="N894" t="s">
        <v>164</v>
      </c>
      <c r="O894" t="s">
        <v>22</v>
      </c>
      <c r="P894" t="s">
        <v>23</v>
      </c>
    </row>
    <row r="895" spans="1:16" x14ac:dyDescent="0.3">
      <c r="A895" t="s">
        <v>2764</v>
      </c>
      <c r="B895" t="s">
        <v>2765</v>
      </c>
      <c r="C895" s="1">
        <v>45426</v>
      </c>
      <c r="D895" s="1">
        <v>45426</v>
      </c>
      <c r="E895">
        <v>150</v>
      </c>
      <c r="F895">
        <v>150</v>
      </c>
      <c r="G895">
        <v>0</v>
      </c>
      <c r="H895">
        <v>0</v>
      </c>
      <c r="I895" t="s">
        <v>96</v>
      </c>
      <c r="J895" t="s">
        <v>97</v>
      </c>
      <c r="K895" t="s">
        <v>19</v>
      </c>
      <c r="L895" t="s">
        <v>20</v>
      </c>
      <c r="M895">
        <v>95</v>
      </c>
      <c r="N895" t="s">
        <v>21</v>
      </c>
      <c r="O895" t="s">
        <v>22</v>
      </c>
      <c r="P895" t="s">
        <v>23</v>
      </c>
    </row>
    <row r="896" spans="1:16" x14ac:dyDescent="0.3">
      <c r="A896" t="s">
        <v>2766</v>
      </c>
      <c r="B896" t="s">
        <v>2767</v>
      </c>
      <c r="C896" s="1">
        <v>45427</v>
      </c>
      <c r="D896" s="1">
        <v>45427</v>
      </c>
      <c r="E896">
        <v>650</v>
      </c>
      <c r="F896">
        <v>650</v>
      </c>
      <c r="G896">
        <v>0</v>
      </c>
      <c r="H896">
        <v>0</v>
      </c>
      <c r="I896" t="s">
        <v>108</v>
      </c>
      <c r="J896" t="s">
        <v>109</v>
      </c>
      <c r="K896" t="s">
        <v>19</v>
      </c>
      <c r="L896" t="s">
        <v>110</v>
      </c>
      <c r="M896">
        <v>100</v>
      </c>
      <c r="N896" t="s">
        <v>21</v>
      </c>
      <c r="O896" t="s">
        <v>22</v>
      </c>
      <c r="P896" t="s">
        <v>23</v>
      </c>
    </row>
    <row r="897" spans="1:16" x14ac:dyDescent="0.3">
      <c r="A897" t="s">
        <v>2768</v>
      </c>
      <c r="B897" t="s">
        <v>2769</v>
      </c>
      <c r="C897" s="1">
        <v>45427</v>
      </c>
      <c r="D897" s="1">
        <v>45427</v>
      </c>
      <c r="E897">
        <v>15</v>
      </c>
      <c r="F897">
        <v>15</v>
      </c>
      <c r="G897">
        <v>0</v>
      </c>
      <c r="H897">
        <v>0</v>
      </c>
      <c r="I897" t="s">
        <v>2770</v>
      </c>
      <c r="J897" t="s">
        <v>2771</v>
      </c>
      <c r="K897" t="s">
        <v>91</v>
      </c>
      <c r="L897" t="s">
        <v>92</v>
      </c>
      <c r="M897">
        <v>85</v>
      </c>
      <c r="N897" t="s">
        <v>93</v>
      </c>
      <c r="O897" t="s">
        <v>22</v>
      </c>
      <c r="P897" t="s">
        <v>23</v>
      </c>
    </row>
    <row r="898" spans="1:16" x14ac:dyDescent="0.3">
      <c r="A898" t="s">
        <v>2772</v>
      </c>
      <c r="B898" t="s">
        <v>2773</v>
      </c>
      <c r="C898" s="1">
        <v>45427</v>
      </c>
      <c r="D898" s="1">
        <v>45427</v>
      </c>
      <c r="E898">
        <v>130</v>
      </c>
      <c r="F898">
        <v>130</v>
      </c>
      <c r="G898">
        <v>0</v>
      </c>
      <c r="H898">
        <v>0</v>
      </c>
      <c r="I898" t="s">
        <v>358</v>
      </c>
      <c r="J898" t="s">
        <v>359</v>
      </c>
      <c r="K898" t="s">
        <v>19</v>
      </c>
      <c r="L898" t="s">
        <v>20</v>
      </c>
      <c r="M898">
        <v>95</v>
      </c>
      <c r="N898" t="s">
        <v>21</v>
      </c>
      <c r="O898" t="s">
        <v>22</v>
      </c>
      <c r="P898" t="s">
        <v>23</v>
      </c>
    </row>
    <row r="899" spans="1:16" x14ac:dyDescent="0.3">
      <c r="A899" t="s">
        <v>2774</v>
      </c>
      <c r="B899" t="s">
        <v>2775</v>
      </c>
      <c r="C899" s="1">
        <v>45427</v>
      </c>
      <c r="D899" s="1">
        <v>45427</v>
      </c>
      <c r="E899">
        <v>100</v>
      </c>
      <c r="F899">
        <v>100</v>
      </c>
      <c r="G899">
        <v>0</v>
      </c>
      <c r="H899">
        <v>0</v>
      </c>
      <c r="I899" t="s">
        <v>2776</v>
      </c>
      <c r="J899" t="s">
        <v>2777</v>
      </c>
      <c r="K899" t="s">
        <v>19</v>
      </c>
      <c r="L899" t="s">
        <v>20</v>
      </c>
      <c r="M899">
        <v>95</v>
      </c>
      <c r="N899" t="s">
        <v>21</v>
      </c>
      <c r="O899" t="s">
        <v>22</v>
      </c>
      <c r="P899" t="s">
        <v>23</v>
      </c>
    </row>
    <row r="900" spans="1:16" x14ac:dyDescent="0.3">
      <c r="A900" t="s">
        <v>2778</v>
      </c>
      <c r="B900" t="s">
        <v>2779</v>
      </c>
      <c r="C900" s="1">
        <v>45427</v>
      </c>
      <c r="D900" s="1">
        <v>45427</v>
      </c>
      <c r="E900">
        <v>500</v>
      </c>
      <c r="F900">
        <v>500</v>
      </c>
      <c r="G900">
        <v>0</v>
      </c>
      <c r="H900">
        <v>0</v>
      </c>
      <c r="I900" t="s">
        <v>2776</v>
      </c>
      <c r="J900" t="s">
        <v>2777</v>
      </c>
      <c r="K900" t="s">
        <v>19</v>
      </c>
      <c r="L900" t="s">
        <v>20</v>
      </c>
      <c r="M900">
        <v>95</v>
      </c>
      <c r="N900" t="s">
        <v>21</v>
      </c>
      <c r="O900" t="s">
        <v>22</v>
      </c>
      <c r="P900" t="s">
        <v>23</v>
      </c>
    </row>
    <row r="901" spans="1:16" x14ac:dyDescent="0.3">
      <c r="A901" t="s">
        <v>2780</v>
      </c>
      <c r="B901" t="s">
        <v>2781</v>
      </c>
      <c r="C901" s="1">
        <v>45427</v>
      </c>
      <c r="D901" s="1">
        <v>45427</v>
      </c>
      <c r="E901">
        <v>15</v>
      </c>
      <c r="F901">
        <v>15</v>
      </c>
      <c r="G901">
        <v>0</v>
      </c>
      <c r="H901">
        <v>0</v>
      </c>
      <c r="I901" t="s">
        <v>2782</v>
      </c>
      <c r="J901" t="s">
        <v>2783</v>
      </c>
      <c r="K901" t="s">
        <v>19</v>
      </c>
      <c r="L901" t="s">
        <v>20</v>
      </c>
      <c r="M901">
        <v>95</v>
      </c>
      <c r="N901" t="s">
        <v>21</v>
      </c>
      <c r="O901" t="s">
        <v>22</v>
      </c>
      <c r="P901" t="s">
        <v>23</v>
      </c>
    </row>
    <row r="902" spans="1:16" x14ac:dyDescent="0.3">
      <c r="A902" t="s">
        <v>2784</v>
      </c>
      <c r="B902" t="s">
        <v>2785</v>
      </c>
      <c r="C902" s="1">
        <v>45427</v>
      </c>
      <c r="D902" s="1">
        <v>45427</v>
      </c>
      <c r="E902">
        <v>10</v>
      </c>
      <c r="F902">
        <v>10</v>
      </c>
      <c r="G902">
        <v>0</v>
      </c>
      <c r="H902">
        <v>0</v>
      </c>
      <c r="I902" t="s">
        <v>2776</v>
      </c>
      <c r="J902" t="s">
        <v>2777</v>
      </c>
      <c r="K902" t="s">
        <v>19</v>
      </c>
      <c r="L902" t="s">
        <v>20</v>
      </c>
      <c r="M902">
        <v>95</v>
      </c>
      <c r="N902" t="s">
        <v>21</v>
      </c>
      <c r="O902" t="s">
        <v>22</v>
      </c>
      <c r="P902" t="s">
        <v>23</v>
      </c>
    </row>
    <row r="903" spans="1:16" x14ac:dyDescent="0.3">
      <c r="A903" t="s">
        <v>2786</v>
      </c>
      <c r="B903" t="s">
        <v>2787</v>
      </c>
      <c r="C903" s="1">
        <v>45428</v>
      </c>
      <c r="D903" s="1">
        <v>45428</v>
      </c>
      <c r="E903">
        <v>130</v>
      </c>
      <c r="F903">
        <v>130</v>
      </c>
      <c r="G903">
        <v>0</v>
      </c>
      <c r="H903">
        <v>0</v>
      </c>
      <c r="I903" t="s">
        <v>108</v>
      </c>
      <c r="J903" t="s">
        <v>109</v>
      </c>
      <c r="K903" t="s">
        <v>19</v>
      </c>
      <c r="L903" t="s">
        <v>110</v>
      </c>
      <c r="M903">
        <v>100</v>
      </c>
      <c r="N903" t="s">
        <v>21</v>
      </c>
      <c r="O903" t="s">
        <v>22</v>
      </c>
      <c r="P903" t="s">
        <v>23</v>
      </c>
    </row>
    <row r="904" spans="1:16" x14ac:dyDescent="0.3">
      <c r="A904" t="s">
        <v>2788</v>
      </c>
      <c r="B904" t="s">
        <v>2789</v>
      </c>
      <c r="C904" s="1">
        <v>45428</v>
      </c>
      <c r="D904" s="1">
        <v>45428</v>
      </c>
      <c r="E904">
        <v>30</v>
      </c>
      <c r="F904">
        <v>30</v>
      </c>
      <c r="G904">
        <v>0</v>
      </c>
      <c r="H904">
        <v>0</v>
      </c>
      <c r="I904" t="s">
        <v>358</v>
      </c>
      <c r="J904" t="s">
        <v>359</v>
      </c>
      <c r="K904" t="s">
        <v>19</v>
      </c>
      <c r="L904" t="s">
        <v>20</v>
      </c>
      <c r="M904">
        <v>95</v>
      </c>
      <c r="N904" t="s">
        <v>21</v>
      </c>
      <c r="O904" t="s">
        <v>22</v>
      </c>
      <c r="P904" t="s">
        <v>23</v>
      </c>
    </row>
    <row r="905" spans="1:16" x14ac:dyDescent="0.3">
      <c r="A905" t="s">
        <v>2790</v>
      </c>
      <c r="B905" t="s">
        <v>2791</v>
      </c>
      <c r="C905" s="1">
        <v>45428</v>
      </c>
      <c r="D905" s="1">
        <v>45428</v>
      </c>
      <c r="E905">
        <v>130</v>
      </c>
      <c r="F905">
        <v>130</v>
      </c>
      <c r="G905">
        <v>0</v>
      </c>
      <c r="H905">
        <v>0</v>
      </c>
      <c r="I905" t="s">
        <v>358</v>
      </c>
      <c r="J905" t="s">
        <v>359</v>
      </c>
      <c r="K905" t="s">
        <v>91</v>
      </c>
      <c r="L905" t="s">
        <v>92</v>
      </c>
      <c r="M905">
        <v>85</v>
      </c>
      <c r="N905" t="s">
        <v>93</v>
      </c>
      <c r="O905" t="s">
        <v>219</v>
      </c>
      <c r="P905" t="s">
        <v>220</v>
      </c>
    </row>
    <row r="906" spans="1:16" x14ac:dyDescent="0.3">
      <c r="A906" t="s">
        <v>2792</v>
      </c>
      <c r="B906" t="s">
        <v>2793</v>
      </c>
      <c r="C906" s="1">
        <v>45428</v>
      </c>
      <c r="D906" s="1">
        <v>45428</v>
      </c>
      <c r="E906">
        <v>400</v>
      </c>
      <c r="F906">
        <v>392</v>
      </c>
      <c r="G906">
        <v>-8</v>
      </c>
      <c r="H906">
        <v>0</v>
      </c>
      <c r="I906" t="s">
        <v>2551</v>
      </c>
      <c r="J906" t="s">
        <v>2552</v>
      </c>
      <c r="K906" t="s">
        <v>278</v>
      </c>
      <c r="L906" t="s">
        <v>2794</v>
      </c>
      <c r="M906">
        <v>80</v>
      </c>
      <c r="N906" t="s">
        <v>93</v>
      </c>
      <c r="O906" t="s">
        <v>22</v>
      </c>
      <c r="P906" t="s">
        <v>23</v>
      </c>
    </row>
    <row r="907" spans="1:16" x14ac:dyDescent="0.3">
      <c r="A907" t="s">
        <v>2795</v>
      </c>
      <c r="B907" t="s">
        <v>2796</v>
      </c>
      <c r="C907" s="1">
        <v>45428</v>
      </c>
      <c r="D907" s="1">
        <v>45428</v>
      </c>
      <c r="E907">
        <v>1000</v>
      </c>
      <c r="F907">
        <v>1000</v>
      </c>
      <c r="G907">
        <v>0</v>
      </c>
      <c r="H907">
        <v>0</v>
      </c>
      <c r="I907" t="s">
        <v>2797</v>
      </c>
      <c r="J907" t="s">
        <v>2798</v>
      </c>
      <c r="K907" t="s">
        <v>19</v>
      </c>
      <c r="L907" t="s">
        <v>20</v>
      </c>
      <c r="M907">
        <v>95</v>
      </c>
      <c r="N907" t="s">
        <v>21</v>
      </c>
      <c r="O907" t="s">
        <v>22</v>
      </c>
      <c r="P907" t="s">
        <v>23</v>
      </c>
    </row>
    <row r="908" spans="1:16" x14ac:dyDescent="0.3">
      <c r="A908" t="s">
        <v>2799</v>
      </c>
      <c r="B908" t="s">
        <v>2800</v>
      </c>
      <c r="C908" s="1">
        <v>45428</v>
      </c>
      <c r="D908" s="1">
        <v>45428</v>
      </c>
      <c r="E908">
        <v>130</v>
      </c>
      <c r="F908">
        <v>130</v>
      </c>
      <c r="G908">
        <v>0</v>
      </c>
      <c r="H908">
        <v>0</v>
      </c>
      <c r="I908" t="s">
        <v>358</v>
      </c>
      <c r="J908" t="s">
        <v>359</v>
      </c>
      <c r="K908" t="s">
        <v>19</v>
      </c>
      <c r="L908" t="s">
        <v>20</v>
      </c>
      <c r="M908">
        <v>95</v>
      </c>
      <c r="N908" t="s">
        <v>21</v>
      </c>
      <c r="O908" t="s">
        <v>219</v>
      </c>
      <c r="P908" t="s">
        <v>220</v>
      </c>
    </row>
    <row r="909" spans="1:16" x14ac:dyDescent="0.3">
      <c r="A909" t="s">
        <v>2801</v>
      </c>
      <c r="B909" t="s">
        <v>2802</v>
      </c>
      <c r="C909" s="1">
        <v>45428</v>
      </c>
      <c r="D909" s="1">
        <v>45428</v>
      </c>
      <c r="E909">
        <v>500</v>
      </c>
      <c r="F909">
        <v>500</v>
      </c>
      <c r="G909">
        <v>0</v>
      </c>
      <c r="H909">
        <v>0</v>
      </c>
      <c r="I909" t="s">
        <v>2803</v>
      </c>
      <c r="J909" t="s">
        <v>2804</v>
      </c>
      <c r="K909" t="s">
        <v>19</v>
      </c>
      <c r="L909" t="s">
        <v>20</v>
      </c>
      <c r="M909">
        <v>95</v>
      </c>
      <c r="N909" t="s">
        <v>21</v>
      </c>
      <c r="O909" t="s">
        <v>22</v>
      </c>
      <c r="P909" t="s">
        <v>23</v>
      </c>
    </row>
    <row r="910" spans="1:16" x14ac:dyDescent="0.3">
      <c r="A910" t="s">
        <v>2805</v>
      </c>
      <c r="B910" t="s">
        <v>2806</v>
      </c>
      <c r="C910" s="1">
        <v>45429</v>
      </c>
      <c r="D910" s="1">
        <v>45429</v>
      </c>
      <c r="E910">
        <v>650</v>
      </c>
      <c r="F910">
        <v>650</v>
      </c>
      <c r="G910">
        <v>0</v>
      </c>
      <c r="H910">
        <v>0</v>
      </c>
      <c r="I910" t="s">
        <v>108</v>
      </c>
      <c r="J910" t="s">
        <v>109</v>
      </c>
      <c r="K910" t="s">
        <v>19</v>
      </c>
      <c r="L910" t="s">
        <v>110</v>
      </c>
      <c r="M910">
        <v>100</v>
      </c>
      <c r="N910" t="s">
        <v>21</v>
      </c>
      <c r="O910" t="s">
        <v>22</v>
      </c>
      <c r="P910" t="s">
        <v>23</v>
      </c>
    </row>
    <row r="911" spans="1:16" x14ac:dyDescent="0.3">
      <c r="A911" t="s">
        <v>2807</v>
      </c>
      <c r="B911" t="s">
        <v>2808</v>
      </c>
      <c r="C911" s="1">
        <v>45429</v>
      </c>
      <c r="D911" s="1">
        <v>45429</v>
      </c>
      <c r="E911">
        <v>110</v>
      </c>
      <c r="F911">
        <v>110</v>
      </c>
      <c r="G911">
        <v>0</v>
      </c>
      <c r="H911">
        <v>0</v>
      </c>
      <c r="I911" t="s">
        <v>2809</v>
      </c>
      <c r="J911" t="s">
        <v>2810</v>
      </c>
      <c r="K911" t="s">
        <v>19</v>
      </c>
      <c r="L911" t="s">
        <v>20</v>
      </c>
      <c r="M911">
        <v>95</v>
      </c>
      <c r="N911" t="s">
        <v>21</v>
      </c>
      <c r="O911" t="s">
        <v>22</v>
      </c>
      <c r="P911" t="s">
        <v>23</v>
      </c>
    </row>
    <row r="912" spans="1:16" x14ac:dyDescent="0.3">
      <c r="A912" t="s">
        <v>2811</v>
      </c>
      <c r="B912" t="s">
        <v>2812</v>
      </c>
      <c r="C912" s="1">
        <v>45429</v>
      </c>
      <c r="D912" s="1">
        <v>45429</v>
      </c>
      <c r="E912">
        <v>95</v>
      </c>
      <c r="F912">
        <v>95</v>
      </c>
      <c r="G912">
        <v>0</v>
      </c>
      <c r="H912">
        <v>0</v>
      </c>
      <c r="I912" t="s">
        <v>2809</v>
      </c>
      <c r="J912" t="s">
        <v>2810</v>
      </c>
      <c r="K912" t="s">
        <v>19</v>
      </c>
      <c r="L912" t="s">
        <v>20</v>
      </c>
      <c r="M912">
        <v>95</v>
      </c>
      <c r="N912" t="s">
        <v>21</v>
      </c>
      <c r="O912" t="s">
        <v>22</v>
      </c>
      <c r="P912" t="s">
        <v>23</v>
      </c>
    </row>
    <row r="913" spans="1:16" x14ac:dyDescent="0.3">
      <c r="A913" t="s">
        <v>2813</v>
      </c>
      <c r="B913" t="s">
        <v>2814</v>
      </c>
      <c r="C913" s="1">
        <v>45429</v>
      </c>
      <c r="D913" s="1">
        <v>45429</v>
      </c>
      <c r="E913">
        <v>1300</v>
      </c>
      <c r="F913">
        <v>1300</v>
      </c>
      <c r="G913">
        <v>0</v>
      </c>
      <c r="H913">
        <v>0</v>
      </c>
      <c r="I913" t="s">
        <v>2815</v>
      </c>
      <c r="J913" t="s">
        <v>2816</v>
      </c>
      <c r="K913" t="s">
        <v>19</v>
      </c>
      <c r="L913" t="s">
        <v>20</v>
      </c>
      <c r="M913">
        <v>95</v>
      </c>
      <c r="N913" t="s">
        <v>21</v>
      </c>
      <c r="O913" t="s">
        <v>22</v>
      </c>
      <c r="P913" t="s">
        <v>23</v>
      </c>
    </row>
    <row r="914" spans="1:16" x14ac:dyDescent="0.3">
      <c r="A914" t="s">
        <v>2817</v>
      </c>
      <c r="B914" t="s">
        <v>2818</v>
      </c>
      <c r="C914" s="1">
        <v>45430</v>
      </c>
      <c r="D914" s="1">
        <v>45430</v>
      </c>
      <c r="E914">
        <v>260</v>
      </c>
      <c r="F914">
        <v>260</v>
      </c>
      <c r="G914">
        <v>0</v>
      </c>
      <c r="H914">
        <v>0</v>
      </c>
      <c r="I914" t="s">
        <v>358</v>
      </c>
      <c r="J914" t="s">
        <v>359</v>
      </c>
      <c r="K914" t="s">
        <v>19</v>
      </c>
      <c r="L914" t="s">
        <v>20</v>
      </c>
      <c r="M914">
        <v>95</v>
      </c>
      <c r="N914" t="s">
        <v>21</v>
      </c>
      <c r="O914" t="s">
        <v>22</v>
      </c>
      <c r="P914" t="s">
        <v>23</v>
      </c>
    </row>
    <row r="915" spans="1:16" x14ac:dyDescent="0.3">
      <c r="A915" t="s">
        <v>2819</v>
      </c>
      <c r="B915" t="s">
        <v>2820</v>
      </c>
      <c r="C915" s="1">
        <v>45430</v>
      </c>
      <c r="D915" s="1">
        <v>45430</v>
      </c>
      <c r="E915">
        <v>15</v>
      </c>
      <c r="F915">
        <v>15</v>
      </c>
      <c r="G915">
        <v>0</v>
      </c>
      <c r="H915">
        <v>0</v>
      </c>
      <c r="I915" t="s">
        <v>2821</v>
      </c>
      <c r="J915" t="s">
        <v>2822</v>
      </c>
      <c r="K915" t="s">
        <v>19</v>
      </c>
      <c r="L915" t="s">
        <v>20</v>
      </c>
      <c r="M915">
        <v>95</v>
      </c>
      <c r="N915" t="s">
        <v>21</v>
      </c>
      <c r="O915" t="s">
        <v>22</v>
      </c>
      <c r="P915" t="s">
        <v>23</v>
      </c>
    </row>
    <row r="916" spans="1:16" x14ac:dyDescent="0.3">
      <c r="A916" t="s">
        <v>2823</v>
      </c>
      <c r="B916" t="s">
        <v>2824</v>
      </c>
      <c r="C916" s="1">
        <v>45430</v>
      </c>
      <c r="D916" s="1">
        <v>45430</v>
      </c>
      <c r="E916">
        <v>50</v>
      </c>
      <c r="F916">
        <v>50</v>
      </c>
      <c r="G916">
        <v>0</v>
      </c>
      <c r="H916">
        <v>0</v>
      </c>
      <c r="I916" t="s">
        <v>441</v>
      </c>
      <c r="J916" t="s">
        <v>442</v>
      </c>
      <c r="K916" t="s">
        <v>91</v>
      </c>
      <c r="L916" t="s">
        <v>92</v>
      </c>
      <c r="M916">
        <v>85</v>
      </c>
      <c r="N916" t="s">
        <v>93</v>
      </c>
      <c r="O916" t="s">
        <v>22</v>
      </c>
      <c r="P916" t="s">
        <v>23</v>
      </c>
    </row>
    <row r="917" spans="1:16" x14ac:dyDescent="0.3">
      <c r="A917" t="s">
        <v>2825</v>
      </c>
      <c r="B917" t="s">
        <v>2826</v>
      </c>
      <c r="C917" s="1">
        <v>45430</v>
      </c>
      <c r="D917" s="1">
        <v>45430</v>
      </c>
      <c r="E917">
        <v>50</v>
      </c>
      <c r="F917">
        <v>50</v>
      </c>
      <c r="G917">
        <v>0</v>
      </c>
      <c r="H917">
        <v>0</v>
      </c>
      <c r="I917" t="s">
        <v>2827</v>
      </c>
      <c r="J917" t="s">
        <v>2828</v>
      </c>
      <c r="K917" t="s">
        <v>19</v>
      </c>
      <c r="L917" t="s">
        <v>20</v>
      </c>
      <c r="M917">
        <v>95</v>
      </c>
      <c r="N917" t="s">
        <v>21</v>
      </c>
      <c r="O917" t="s">
        <v>22</v>
      </c>
      <c r="P917" t="s">
        <v>23</v>
      </c>
    </row>
    <row r="918" spans="1:16" x14ac:dyDescent="0.3">
      <c r="A918" t="s">
        <v>2829</v>
      </c>
      <c r="B918" t="s">
        <v>2830</v>
      </c>
      <c r="C918" s="1">
        <v>45431</v>
      </c>
      <c r="D918" s="1">
        <v>45431</v>
      </c>
      <c r="E918">
        <v>60</v>
      </c>
      <c r="F918">
        <v>60</v>
      </c>
      <c r="G918">
        <v>0</v>
      </c>
      <c r="H918">
        <v>0</v>
      </c>
      <c r="I918" t="s">
        <v>2831</v>
      </c>
      <c r="J918" t="s">
        <v>2832</v>
      </c>
      <c r="K918" t="s">
        <v>19</v>
      </c>
      <c r="L918" t="s">
        <v>20</v>
      </c>
      <c r="M918">
        <v>95</v>
      </c>
      <c r="N918" t="s">
        <v>21</v>
      </c>
      <c r="O918" t="s">
        <v>22</v>
      </c>
      <c r="P918" t="s">
        <v>23</v>
      </c>
    </row>
    <row r="919" spans="1:16" x14ac:dyDescent="0.3">
      <c r="A919" t="s">
        <v>2833</v>
      </c>
      <c r="B919" t="s">
        <v>2834</v>
      </c>
      <c r="C919" s="1">
        <v>45431</v>
      </c>
      <c r="D919" s="1">
        <v>45431</v>
      </c>
      <c r="E919">
        <v>100</v>
      </c>
      <c r="F919">
        <v>100</v>
      </c>
      <c r="G919">
        <v>0</v>
      </c>
      <c r="H919">
        <v>0</v>
      </c>
      <c r="I919" t="s">
        <v>2831</v>
      </c>
      <c r="J919" t="s">
        <v>2832</v>
      </c>
      <c r="K919" t="s">
        <v>19</v>
      </c>
      <c r="L919" t="s">
        <v>20</v>
      </c>
      <c r="M919">
        <v>95</v>
      </c>
      <c r="N919" t="s">
        <v>21</v>
      </c>
      <c r="O919" t="s">
        <v>22</v>
      </c>
      <c r="P919" t="s">
        <v>23</v>
      </c>
    </row>
    <row r="920" spans="1:16" x14ac:dyDescent="0.3">
      <c r="A920" t="s">
        <v>2835</v>
      </c>
      <c r="B920" t="s">
        <v>2836</v>
      </c>
      <c r="C920" s="1">
        <v>45431</v>
      </c>
      <c r="D920" s="1">
        <v>45431</v>
      </c>
      <c r="E920">
        <v>20</v>
      </c>
      <c r="F920">
        <v>20</v>
      </c>
      <c r="G920">
        <v>0</v>
      </c>
      <c r="H920">
        <v>0</v>
      </c>
      <c r="I920" t="s">
        <v>441</v>
      </c>
      <c r="J920" t="s">
        <v>442</v>
      </c>
      <c r="K920" t="s">
        <v>19</v>
      </c>
      <c r="L920" t="s">
        <v>20</v>
      </c>
      <c r="M920">
        <v>95</v>
      </c>
      <c r="N920" t="s">
        <v>21</v>
      </c>
      <c r="O920" t="s">
        <v>22</v>
      </c>
      <c r="P920" t="s">
        <v>23</v>
      </c>
    </row>
    <row r="921" spans="1:16" x14ac:dyDescent="0.3">
      <c r="A921" t="s">
        <v>2837</v>
      </c>
      <c r="B921" t="s">
        <v>2838</v>
      </c>
      <c r="C921" s="1">
        <v>45431</v>
      </c>
      <c r="D921" s="1">
        <v>45431</v>
      </c>
      <c r="E921">
        <v>130</v>
      </c>
      <c r="F921">
        <v>130</v>
      </c>
      <c r="G921">
        <v>0</v>
      </c>
      <c r="H921">
        <v>0</v>
      </c>
      <c r="I921" t="s">
        <v>358</v>
      </c>
      <c r="J921" t="s">
        <v>359</v>
      </c>
      <c r="K921" t="s">
        <v>19</v>
      </c>
      <c r="L921" t="s">
        <v>20</v>
      </c>
      <c r="M921">
        <v>95</v>
      </c>
      <c r="N921" t="s">
        <v>21</v>
      </c>
      <c r="O921" t="s">
        <v>22</v>
      </c>
      <c r="P921" t="s">
        <v>23</v>
      </c>
    </row>
    <row r="922" spans="1:16" x14ac:dyDescent="0.3">
      <c r="A922" t="s">
        <v>2839</v>
      </c>
      <c r="B922" t="s">
        <v>2840</v>
      </c>
      <c r="C922" s="1">
        <v>45431</v>
      </c>
      <c r="D922" s="1">
        <v>45431</v>
      </c>
      <c r="E922">
        <v>50</v>
      </c>
      <c r="F922">
        <v>50</v>
      </c>
      <c r="G922">
        <v>0</v>
      </c>
      <c r="H922">
        <v>0</v>
      </c>
      <c r="I922" t="s">
        <v>441</v>
      </c>
      <c r="J922" t="s">
        <v>442</v>
      </c>
      <c r="K922" t="s">
        <v>19</v>
      </c>
      <c r="L922" t="s">
        <v>20</v>
      </c>
      <c r="M922">
        <v>95</v>
      </c>
      <c r="N922" t="s">
        <v>21</v>
      </c>
      <c r="O922" t="s">
        <v>22</v>
      </c>
      <c r="P922" t="s">
        <v>23</v>
      </c>
    </row>
    <row r="923" spans="1:16" x14ac:dyDescent="0.3">
      <c r="A923" t="s">
        <v>2841</v>
      </c>
      <c r="B923" t="s">
        <v>2842</v>
      </c>
      <c r="C923" s="1">
        <v>45431</v>
      </c>
      <c r="D923" s="1">
        <v>45431</v>
      </c>
      <c r="E923">
        <v>400</v>
      </c>
      <c r="F923">
        <v>400</v>
      </c>
      <c r="G923">
        <v>0</v>
      </c>
      <c r="H923">
        <v>0</v>
      </c>
      <c r="I923" t="s">
        <v>2843</v>
      </c>
      <c r="J923" t="s">
        <v>2844</v>
      </c>
      <c r="K923" t="s">
        <v>19</v>
      </c>
      <c r="L923" t="s">
        <v>20</v>
      </c>
      <c r="M923">
        <v>95</v>
      </c>
      <c r="N923" t="s">
        <v>21</v>
      </c>
      <c r="O923" t="s">
        <v>22</v>
      </c>
      <c r="P923" t="s">
        <v>23</v>
      </c>
    </row>
    <row r="924" spans="1:16" x14ac:dyDescent="0.3">
      <c r="A924" t="s">
        <v>2845</v>
      </c>
      <c r="B924" t="s">
        <v>2846</v>
      </c>
      <c r="C924" s="1">
        <v>45431</v>
      </c>
      <c r="D924" s="1">
        <v>45431</v>
      </c>
      <c r="E924">
        <v>15</v>
      </c>
      <c r="F924">
        <v>15</v>
      </c>
      <c r="G924">
        <v>0</v>
      </c>
      <c r="H924">
        <v>0</v>
      </c>
      <c r="I924" t="s">
        <v>2847</v>
      </c>
      <c r="J924" t="s">
        <v>2848</v>
      </c>
      <c r="K924" t="s">
        <v>19</v>
      </c>
      <c r="L924" t="s">
        <v>20</v>
      </c>
      <c r="M924">
        <v>95</v>
      </c>
      <c r="N924" t="s">
        <v>21</v>
      </c>
      <c r="O924" t="s">
        <v>22</v>
      </c>
      <c r="P924" t="s">
        <v>23</v>
      </c>
    </row>
    <row r="925" spans="1:16" x14ac:dyDescent="0.3">
      <c r="A925" t="s">
        <v>2849</v>
      </c>
      <c r="B925" t="s">
        <v>2850</v>
      </c>
      <c r="C925" s="1">
        <v>45432</v>
      </c>
      <c r="D925" s="1">
        <v>45432</v>
      </c>
      <c r="E925">
        <v>130</v>
      </c>
      <c r="F925">
        <v>130</v>
      </c>
      <c r="G925">
        <v>0</v>
      </c>
      <c r="H925">
        <v>0</v>
      </c>
      <c r="I925" t="s">
        <v>358</v>
      </c>
      <c r="J925" t="s">
        <v>359</v>
      </c>
      <c r="K925" t="s">
        <v>91</v>
      </c>
      <c r="L925" t="s">
        <v>92</v>
      </c>
      <c r="M925">
        <v>85</v>
      </c>
      <c r="N925" t="s">
        <v>93</v>
      </c>
      <c r="O925" t="s">
        <v>219</v>
      </c>
      <c r="P925" t="s">
        <v>220</v>
      </c>
    </row>
    <row r="926" spans="1:16" x14ac:dyDescent="0.3">
      <c r="A926" t="s">
        <v>2851</v>
      </c>
      <c r="B926" t="s">
        <v>2852</v>
      </c>
      <c r="C926" s="1">
        <v>45432</v>
      </c>
      <c r="D926" s="1">
        <v>45432</v>
      </c>
      <c r="E926">
        <v>130</v>
      </c>
      <c r="F926">
        <v>130</v>
      </c>
      <c r="G926">
        <v>0</v>
      </c>
      <c r="H926">
        <v>0</v>
      </c>
      <c r="I926" t="s">
        <v>358</v>
      </c>
      <c r="J926" t="s">
        <v>359</v>
      </c>
      <c r="K926" t="s">
        <v>19</v>
      </c>
      <c r="L926" t="s">
        <v>20</v>
      </c>
      <c r="M926">
        <v>95</v>
      </c>
      <c r="N926" t="s">
        <v>21</v>
      </c>
      <c r="O926" t="s">
        <v>219</v>
      </c>
      <c r="P926" t="s">
        <v>220</v>
      </c>
    </row>
    <row r="927" spans="1:16" x14ac:dyDescent="0.3">
      <c r="A927" t="s">
        <v>2853</v>
      </c>
      <c r="B927" t="s">
        <v>2854</v>
      </c>
      <c r="C927" s="1">
        <v>45433</v>
      </c>
      <c r="D927" s="1">
        <v>45433</v>
      </c>
      <c r="E927">
        <v>1070</v>
      </c>
      <c r="F927">
        <v>1070</v>
      </c>
      <c r="G927">
        <v>0</v>
      </c>
      <c r="H927">
        <v>0</v>
      </c>
      <c r="I927" t="s">
        <v>108</v>
      </c>
      <c r="J927" t="s">
        <v>109</v>
      </c>
      <c r="K927" t="s">
        <v>19</v>
      </c>
      <c r="L927" t="s">
        <v>110</v>
      </c>
      <c r="M927">
        <v>100</v>
      </c>
      <c r="N927" t="s">
        <v>21</v>
      </c>
      <c r="O927" t="s">
        <v>22</v>
      </c>
      <c r="P927" t="s">
        <v>23</v>
      </c>
    </row>
    <row r="928" spans="1:16" x14ac:dyDescent="0.3">
      <c r="A928" t="s">
        <v>2855</v>
      </c>
      <c r="B928" t="s">
        <v>2856</v>
      </c>
      <c r="C928" s="1">
        <v>45433</v>
      </c>
      <c r="D928" s="1">
        <v>45433</v>
      </c>
      <c r="E928">
        <v>55</v>
      </c>
      <c r="F928">
        <v>55</v>
      </c>
      <c r="G928">
        <v>0</v>
      </c>
      <c r="H928">
        <v>0</v>
      </c>
      <c r="I928" t="s">
        <v>2857</v>
      </c>
      <c r="J928" t="s">
        <v>2858</v>
      </c>
      <c r="K928" t="s">
        <v>19</v>
      </c>
      <c r="L928" t="s">
        <v>20</v>
      </c>
      <c r="M928">
        <v>95</v>
      </c>
      <c r="N928" t="s">
        <v>21</v>
      </c>
      <c r="O928" t="s">
        <v>22</v>
      </c>
      <c r="P928" t="s">
        <v>23</v>
      </c>
    </row>
    <row r="929" spans="1:16" x14ac:dyDescent="0.3">
      <c r="A929" t="s">
        <v>2859</v>
      </c>
      <c r="B929" t="s">
        <v>2860</v>
      </c>
      <c r="C929" s="1">
        <v>45433</v>
      </c>
      <c r="D929" s="1">
        <v>45433</v>
      </c>
      <c r="E929">
        <v>130</v>
      </c>
      <c r="F929">
        <v>130</v>
      </c>
      <c r="G929">
        <v>0</v>
      </c>
      <c r="H929">
        <v>0</v>
      </c>
      <c r="I929" t="s">
        <v>358</v>
      </c>
      <c r="J929" t="s">
        <v>359</v>
      </c>
      <c r="K929" t="s">
        <v>91</v>
      </c>
      <c r="L929" t="s">
        <v>92</v>
      </c>
      <c r="M929">
        <v>85</v>
      </c>
      <c r="N929" t="s">
        <v>93</v>
      </c>
      <c r="O929" t="s">
        <v>219</v>
      </c>
      <c r="P929" t="s">
        <v>220</v>
      </c>
    </row>
    <row r="930" spans="1:16" x14ac:dyDescent="0.3">
      <c r="A930" t="s">
        <v>2861</v>
      </c>
      <c r="B930" t="s">
        <v>2862</v>
      </c>
      <c r="C930" s="1">
        <v>45433</v>
      </c>
      <c r="D930" s="1">
        <v>45433</v>
      </c>
      <c r="E930">
        <v>400</v>
      </c>
      <c r="F930">
        <v>400</v>
      </c>
      <c r="G930">
        <v>0</v>
      </c>
      <c r="H930">
        <v>0</v>
      </c>
      <c r="I930" t="s">
        <v>2863</v>
      </c>
      <c r="J930" t="s">
        <v>2864</v>
      </c>
      <c r="K930" t="s">
        <v>19</v>
      </c>
      <c r="L930" t="s">
        <v>20</v>
      </c>
      <c r="M930">
        <v>95</v>
      </c>
      <c r="N930" t="s">
        <v>21</v>
      </c>
      <c r="O930" t="s">
        <v>22</v>
      </c>
      <c r="P930" t="s">
        <v>23</v>
      </c>
    </row>
    <row r="931" spans="1:16" x14ac:dyDescent="0.3">
      <c r="A931" t="s">
        <v>2865</v>
      </c>
      <c r="B931" t="s">
        <v>2866</v>
      </c>
      <c r="C931" s="1">
        <v>45433</v>
      </c>
      <c r="D931" s="1">
        <v>45433</v>
      </c>
      <c r="E931">
        <v>130</v>
      </c>
      <c r="F931">
        <v>130</v>
      </c>
      <c r="G931">
        <v>0</v>
      </c>
      <c r="H931">
        <v>0</v>
      </c>
      <c r="I931" t="s">
        <v>358</v>
      </c>
      <c r="J931" t="s">
        <v>359</v>
      </c>
      <c r="K931" t="s">
        <v>19</v>
      </c>
      <c r="L931" t="s">
        <v>20</v>
      </c>
      <c r="M931">
        <v>95</v>
      </c>
      <c r="N931" t="s">
        <v>21</v>
      </c>
      <c r="O931" t="s">
        <v>219</v>
      </c>
      <c r="P931" t="s">
        <v>220</v>
      </c>
    </row>
    <row r="932" spans="1:16" x14ac:dyDescent="0.3">
      <c r="A932" t="s">
        <v>2867</v>
      </c>
      <c r="B932" t="s">
        <v>2868</v>
      </c>
      <c r="C932" s="1">
        <v>45434</v>
      </c>
      <c r="D932" s="1">
        <v>45442</v>
      </c>
      <c r="E932">
        <v>2050</v>
      </c>
      <c r="F932">
        <v>938</v>
      </c>
      <c r="G932">
        <v>-1112</v>
      </c>
      <c r="H932">
        <v>8</v>
      </c>
      <c r="I932" t="s">
        <v>108</v>
      </c>
      <c r="J932" t="s">
        <v>109</v>
      </c>
      <c r="K932" t="s">
        <v>278</v>
      </c>
      <c r="L932" t="s">
        <v>2869</v>
      </c>
      <c r="M932">
        <v>80</v>
      </c>
      <c r="N932" t="s">
        <v>93</v>
      </c>
      <c r="O932" t="s">
        <v>22</v>
      </c>
      <c r="P932" t="s">
        <v>23</v>
      </c>
    </row>
    <row r="933" spans="1:16" x14ac:dyDescent="0.3">
      <c r="A933" t="s">
        <v>2870</v>
      </c>
      <c r="B933" t="s">
        <v>2871</v>
      </c>
      <c r="C933" s="1">
        <v>45434</v>
      </c>
      <c r="D933" s="1">
        <v>45434</v>
      </c>
      <c r="E933">
        <v>19</v>
      </c>
      <c r="F933">
        <v>19</v>
      </c>
      <c r="G933">
        <v>0</v>
      </c>
      <c r="H933">
        <v>0</v>
      </c>
      <c r="I933" t="s">
        <v>2872</v>
      </c>
      <c r="J933" t="s">
        <v>2873</v>
      </c>
      <c r="K933" t="s">
        <v>19</v>
      </c>
      <c r="L933" t="s">
        <v>20</v>
      </c>
      <c r="M933">
        <v>95</v>
      </c>
      <c r="N933" t="s">
        <v>21</v>
      </c>
      <c r="O933" t="s">
        <v>22</v>
      </c>
      <c r="P933" t="s">
        <v>23</v>
      </c>
    </row>
    <row r="934" spans="1:16" x14ac:dyDescent="0.3">
      <c r="A934" t="s">
        <v>2874</v>
      </c>
      <c r="B934" t="s">
        <v>2875</v>
      </c>
      <c r="C934" s="1">
        <v>45434</v>
      </c>
      <c r="D934" s="1">
        <v>45435</v>
      </c>
      <c r="E934">
        <v>240</v>
      </c>
      <c r="F934">
        <v>260</v>
      </c>
      <c r="G934">
        <v>20</v>
      </c>
      <c r="H934">
        <v>1</v>
      </c>
      <c r="I934" t="s">
        <v>358</v>
      </c>
      <c r="J934" t="s">
        <v>359</v>
      </c>
      <c r="K934" t="s">
        <v>278</v>
      </c>
      <c r="L934" t="s">
        <v>2876</v>
      </c>
      <c r="M934">
        <v>80</v>
      </c>
      <c r="N934" t="s">
        <v>93</v>
      </c>
      <c r="O934" t="s">
        <v>219</v>
      </c>
      <c r="P934" t="s">
        <v>220</v>
      </c>
    </row>
    <row r="935" spans="1:16" x14ac:dyDescent="0.3">
      <c r="A935" t="s">
        <v>2877</v>
      </c>
      <c r="B935" t="s">
        <v>2878</v>
      </c>
      <c r="C935" s="1">
        <v>45434</v>
      </c>
      <c r="D935" s="1">
        <v>45434</v>
      </c>
      <c r="E935">
        <v>20</v>
      </c>
      <c r="F935">
        <v>20</v>
      </c>
      <c r="G935">
        <v>0</v>
      </c>
      <c r="H935">
        <v>0</v>
      </c>
      <c r="I935" t="s">
        <v>358</v>
      </c>
      <c r="J935" t="s">
        <v>359</v>
      </c>
      <c r="K935" t="s">
        <v>19</v>
      </c>
      <c r="L935" t="s">
        <v>20</v>
      </c>
      <c r="M935">
        <v>95</v>
      </c>
      <c r="N935" t="s">
        <v>21</v>
      </c>
      <c r="O935" t="s">
        <v>22</v>
      </c>
      <c r="P935" t="s">
        <v>23</v>
      </c>
    </row>
    <row r="936" spans="1:16" x14ac:dyDescent="0.3">
      <c r="A936" t="s">
        <v>2879</v>
      </c>
      <c r="B936" t="s">
        <v>2880</v>
      </c>
      <c r="C936" s="1">
        <v>45434</v>
      </c>
      <c r="D936" s="1">
        <v>45434</v>
      </c>
      <c r="E936">
        <v>10</v>
      </c>
      <c r="F936">
        <v>10</v>
      </c>
      <c r="G936">
        <v>0</v>
      </c>
      <c r="H936">
        <v>0</v>
      </c>
      <c r="I936" t="s">
        <v>2881</v>
      </c>
      <c r="J936" t="s">
        <v>2882</v>
      </c>
      <c r="K936" t="s">
        <v>19</v>
      </c>
      <c r="L936" t="s">
        <v>20</v>
      </c>
      <c r="M936">
        <v>95</v>
      </c>
      <c r="N936" t="s">
        <v>21</v>
      </c>
      <c r="O936" t="s">
        <v>22</v>
      </c>
      <c r="P936" t="s">
        <v>23</v>
      </c>
    </row>
    <row r="937" spans="1:16" x14ac:dyDescent="0.3">
      <c r="A937" t="s">
        <v>2883</v>
      </c>
      <c r="B937" t="s">
        <v>2884</v>
      </c>
      <c r="C937" s="1">
        <v>45434</v>
      </c>
      <c r="D937" s="1">
        <v>45434</v>
      </c>
      <c r="E937">
        <v>3920</v>
      </c>
      <c r="F937">
        <v>3920</v>
      </c>
      <c r="G937">
        <v>0</v>
      </c>
      <c r="H937">
        <v>0</v>
      </c>
      <c r="I937" t="s">
        <v>2885</v>
      </c>
      <c r="J937" t="s">
        <v>2886</v>
      </c>
      <c r="K937" t="s">
        <v>19</v>
      </c>
      <c r="L937" t="s">
        <v>20</v>
      </c>
      <c r="M937">
        <v>95</v>
      </c>
      <c r="N937" t="s">
        <v>21</v>
      </c>
      <c r="O937" t="s">
        <v>22</v>
      </c>
      <c r="P937" t="s">
        <v>23</v>
      </c>
    </row>
    <row r="938" spans="1:16" x14ac:dyDescent="0.3">
      <c r="A938" t="s">
        <v>2887</v>
      </c>
      <c r="B938" t="s">
        <v>2888</v>
      </c>
      <c r="C938" s="1">
        <v>45434</v>
      </c>
      <c r="D938" s="1">
        <v>45434</v>
      </c>
      <c r="E938">
        <v>3920</v>
      </c>
      <c r="F938">
        <v>3920</v>
      </c>
      <c r="G938">
        <v>0</v>
      </c>
      <c r="H938">
        <v>0</v>
      </c>
      <c r="I938" t="s">
        <v>2889</v>
      </c>
      <c r="J938" t="s">
        <v>2890</v>
      </c>
      <c r="K938" t="s">
        <v>19</v>
      </c>
      <c r="L938" t="s">
        <v>20</v>
      </c>
      <c r="M938">
        <v>95</v>
      </c>
      <c r="N938" t="s">
        <v>21</v>
      </c>
      <c r="O938" t="s">
        <v>22</v>
      </c>
      <c r="P938" t="s">
        <v>23</v>
      </c>
    </row>
    <row r="939" spans="1:16" x14ac:dyDescent="0.3">
      <c r="A939" t="s">
        <v>2891</v>
      </c>
      <c r="B939" t="s">
        <v>2892</v>
      </c>
      <c r="C939" s="1">
        <v>45434</v>
      </c>
      <c r="D939" s="1">
        <v>45434</v>
      </c>
      <c r="E939">
        <v>130</v>
      </c>
      <c r="F939">
        <v>130</v>
      </c>
      <c r="G939">
        <v>0</v>
      </c>
      <c r="H939">
        <v>0</v>
      </c>
      <c r="I939" t="s">
        <v>358</v>
      </c>
      <c r="J939" t="s">
        <v>359</v>
      </c>
      <c r="K939" t="s">
        <v>19</v>
      </c>
      <c r="L939" t="s">
        <v>20</v>
      </c>
      <c r="M939">
        <v>95</v>
      </c>
      <c r="N939" t="s">
        <v>21</v>
      </c>
      <c r="O939" t="s">
        <v>22</v>
      </c>
      <c r="P939" t="s">
        <v>23</v>
      </c>
    </row>
    <row r="940" spans="1:16" x14ac:dyDescent="0.3">
      <c r="A940" t="s">
        <v>2893</v>
      </c>
      <c r="B940" t="s">
        <v>2894</v>
      </c>
      <c r="C940" s="1">
        <v>45435</v>
      </c>
      <c r="D940" s="1">
        <v>45435</v>
      </c>
      <c r="E940">
        <v>650</v>
      </c>
      <c r="F940">
        <v>650</v>
      </c>
      <c r="G940">
        <v>0</v>
      </c>
      <c r="H940">
        <v>0</v>
      </c>
      <c r="I940" t="s">
        <v>108</v>
      </c>
      <c r="J940" t="s">
        <v>109</v>
      </c>
      <c r="K940" t="s">
        <v>19</v>
      </c>
      <c r="L940" t="s">
        <v>110</v>
      </c>
      <c r="M940">
        <v>100</v>
      </c>
      <c r="N940" t="s">
        <v>21</v>
      </c>
      <c r="O940" t="s">
        <v>22</v>
      </c>
      <c r="P940" t="s">
        <v>23</v>
      </c>
    </row>
    <row r="941" spans="1:16" x14ac:dyDescent="0.3">
      <c r="A941" t="s">
        <v>2895</v>
      </c>
      <c r="B941" t="s">
        <v>2896</v>
      </c>
      <c r="C941" s="1">
        <v>45435</v>
      </c>
      <c r="D941" s="1">
        <v>45435</v>
      </c>
      <c r="E941">
        <v>260</v>
      </c>
      <c r="F941">
        <v>260</v>
      </c>
      <c r="G941">
        <v>0</v>
      </c>
      <c r="H941">
        <v>0</v>
      </c>
      <c r="I941" t="s">
        <v>358</v>
      </c>
      <c r="J941" t="s">
        <v>359</v>
      </c>
      <c r="K941" t="s">
        <v>91</v>
      </c>
      <c r="L941" t="s">
        <v>92</v>
      </c>
      <c r="M941">
        <v>85</v>
      </c>
      <c r="N941" t="s">
        <v>93</v>
      </c>
      <c r="O941" t="s">
        <v>219</v>
      </c>
      <c r="P941" t="s">
        <v>220</v>
      </c>
    </row>
    <row r="942" spans="1:16" x14ac:dyDescent="0.3">
      <c r="A942" t="s">
        <v>2897</v>
      </c>
      <c r="B942" t="s">
        <v>2898</v>
      </c>
      <c r="C942" s="1">
        <v>45435</v>
      </c>
      <c r="D942" s="1">
        <v>45435</v>
      </c>
      <c r="E942">
        <v>260</v>
      </c>
      <c r="F942">
        <v>260</v>
      </c>
      <c r="G942">
        <v>0</v>
      </c>
      <c r="H942">
        <v>0</v>
      </c>
      <c r="I942" t="s">
        <v>358</v>
      </c>
      <c r="J942" t="s">
        <v>359</v>
      </c>
      <c r="K942" t="s">
        <v>91</v>
      </c>
      <c r="L942" t="s">
        <v>92</v>
      </c>
      <c r="M942">
        <v>85</v>
      </c>
      <c r="N942" t="s">
        <v>93</v>
      </c>
      <c r="O942" t="s">
        <v>219</v>
      </c>
      <c r="P942" t="s">
        <v>220</v>
      </c>
    </row>
    <row r="943" spans="1:16" x14ac:dyDescent="0.3">
      <c r="A943" t="s">
        <v>2899</v>
      </c>
      <c r="B943" t="s">
        <v>2900</v>
      </c>
      <c r="C943" s="1">
        <v>45435</v>
      </c>
      <c r="D943" s="1">
        <v>45435</v>
      </c>
      <c r="E943">
        <v>15</v>
      </c>
      <c r="F943">
        <v>15</v>
      </c>
      <c r="G943">
        <v>0</v>
      </c>
      <c r="H943">
        <v>0</v>
      </c>
      <c r="I943" t="s">
        <v>2901</v>
      </c>
      <c r="J943" t="s">
        <v>2902</v>
      </c>
      <c r="K943" t="s">
        <v>19</v>
      </c>
      <c r="L943" t="s">
        <v>20</v>
      </c>
      <c r="M943">
        <v>95</v>
      </c>
      <c r="N943" t="s">
        <v>21</v>
      </c>
      <c r="O943" t="s">
        <v>22</v>
      </c>
      <c r="P943" t="s">
        <v>23</v>
      </c>
    </row>
    <row r="944" spans="1:16" x14ac:dyDescent="0.3">
      <c r="A944" t="s">
        <v>2903</v>
      </c>
      <c r="B944" t="s">
        <v>2904</v>
      </c>
      <c r="C944" s="1">
        <v>45435</v>
      </c>
      <c r="D944" s="1">
        <v>45435</v>
      </c>
      <c r="E944">
        <v>260</v>
      </c>
      <c r="F944">
        <v>260</v>
      </c>
      <c r="G944">
        <v>0</v>
      </c>
      <c r="H944">
        <v>0</v>
      </c>
      <c r="I944" t="s">
        <v>358</v>
      </c>
      <c r="J944" t="s">
        <v>359</v>
      </c>
      <c r="K944" t="s">
        <v>91</v>
      </c>
      <c r="L944" t="s">
        <v>92</v>
      </c>
      <c r="M944">
        <v>85</v>
      </c>
      <c r="N944" t="s">
        <v>93</v>
      </c>
      <c r="O944" t="s">
        <v>219</v>
      </c>
      <c r="P944" t="s">
        <v>220</v>
      </c>
    </row>
    <row r="945" spans="1:16" x14ac:dyDescent="0.3">
      <c r="A945" t="s">
        <v>2905</v>
      </c>
      <c r="B945" t="s">
        <v>2906</v>
      </c>
      <c r="C945" s="1">
        <v>45435</v>
      </c>
      <c r="D945" s="1">
        <v>45435</v>
      </c>
      <c r="E945">
        <v>20</v>
      </c>
      <c r="F945">
        <v>20</v>
      </c>
      <c r="G945">
        <v>0</v>
      </c>
      <c r="H945">
        <v>0</v>
      </c>
      <c r="I945" t="s">
        <v>2907</v>
      </c>
      <c r="J945" t="s">
        <v>2908</v>
      </c>
      <c r="K945" t="s">
        <v>19</v>
      </c>
      <c r="L945" t="s">
        <v>20</v>
      </c>
      <c r="M945">
        <v>95</v>
      </c>
      <c r="N945" t="s">
        <v>21</v>
      </c>
      <c r="O945" t="s">
        <v>22</v>
      </c>
      <c r="P945" t="s">
        <v>23</v>
      </c>
    </row>
    <row r="946" spans="1:16" x14ac:dyDescent="0.3">
      <c r="A946" t="s">
        <v>2909</v>
      </c>
      <c r="B946" t="s">
        <v>2910</v>
      </c>
      <c r="C946" s="1">
        <v>45435</v>
      </c>
      <c r="D946" s="1">
        <v>45435</v>
      </c>
      <c r="E946">
        <v>260</v>
      </c>
      <c r="F946">
        <v>260</v>
      </c>
      <c r="G946">
        <v>0</v>
      </c>
      <c r="H946">
        <v>0</v>
      </c>
      <c r="I946" t="s">
        <v>358</v>
      </c>
      <c r="J946" t="s">
        <v>2911</v>
      </c>
      <c r="K946" t="s">
        <v>19</v>
      </c>
      <c r="L946" t="s">
        <v>20</v>
      </c>
      <c r="M946">
        <v>95</v>
      </c>
      <c r="N946" t="s">
        <v>21</v>
      </c>
      <c r="O946" t="s">
        <v>219</v>
      </c>
      <c r="P946" t="s">
        <v>220</v>
      </c>
    </row>
    <row r="947" spans="1:16" x14ac:dyDescent="0.3">
      <c r="A947" t="s">
        <v>2912</v>
      </c>
      <c r="B947" t="s">
        <v>161</v>
      </c>
      <c r="C947" s="1">
        <v>45435</v>
      </c>
      <c r="D947" s="1"/>
      <c r="E947">
        <v>260</v>
      </c>
      <c r="I947" t="s">
        <v>2913</v>
      </c>
      <c r="J947" t="s">
        <v>161</v>
      </c>
      <c r="K947" t="s">
        <v>162</v>
      </c>
      <c r="L947" t="s">
        <v>163</v>
      </c>
      <c r="M947">
        <v>0</v>
      </c>
      <c r="N947" t="s">
        <v>164</v>
      </c>
      <c r="O947" t="s">
        <v>22</v>
      </c>
      <c r="P947" t="s">
        <v>23</v>
      </c>
    </row>
    <row r="948" spans="1:16" x14ac:dyDescent="0.3">
      <c r="A948" t="s">
        <v>2914</v>
      </c>
      <c r="B948" t="s">
        <v>2915</v>
      </c>
      <c r="C948" s="1">
        <v>45436</v>
      </c>
      <c r="D948" s="1">
        <v>45436</v>
      </c>
      <c r="E948">
        <v>130</v>
      </c>
      <c r="F948">
        <v>130</v>
      </c>
      <c r="G948">
        <v>0</v>
      </c>
      <c r="H948">
        <v>0</v>
      </c>
      <c r="I948" t="s">
        <v>358</v>
      </c>
      <c r="J948" t="s">
        <v>359</v>
      </c>
      <c r="K948" t="s">
        <v>91</v>
      </c>
      <c r="L948" t="s">
        <v>92</v>
      </c>
      <c r="M948">
        <v>85</v>
      </c>
      <c r="N948" t="s">
        <v>93</v>
      </c>
      <c r="O948" t="s">
        <v>219</v>
      </c>
      <c r="P948" t="s">
        <v>220</v>
      </c>
    </row>
    <row r="949" spans="1:16" x14ac:dyDescent="0.3">
      <c r="A949" t="s">
        <v>2916</v>
      </c>
      <c r="B949" t="s">
        <v>2917</v>
      </c>
      <c r="C949" s="1">
        <v>45436</v>
      </c>
      <c r="D949" s="1">
        <v>45435</v>
      </c>
      <c r="E949">
        <v>600</v>
      </c>
      <c r="F949">
        <v>600</v>
      </c>
      <c r="G949">
        <v>0</v>
      </c>
      <c r="H949">
        <v>-1</v>
      </c>
      <c r="I949" t="s">
        <v>2918</v>
      </c>
      <c r="J949" t="s">
        <v>2919</v>
      </c>
      <c r="K949" t="s">
        <v>235</v>
      </c>
      <c r="L949" t="s">
        <v>265</v>
      </c>
      <c r="M949">
        <v>80</v>
      </c>
      <c r="N949" t="s">
        <v>93</v>
      </c>
      <c r="O949" t="s">
        <v>22</v>
      </c>
      <c r="P949" t="s">
        <v>23</v>
      </c>
    </row>
    <row r="950" spans="1:16" x14ac:dyDescent="0.3">
      <c r="A950" t="s">
        <v>2920</v>
      </c>
      <c r="B950" t="s">
        <v>2921</v>
      </c>
      <c r="C950" s="1">
        <v>45436</v>
      </c>
      <c r="D950" s="1">
        <v>45436</v>
      </c>
      <c r="E950">
        <v>600</v>
      </c>
      <c r="F950">
        <v>600</v>
      </c>
      <c r="G950">
        <v>0</v>
      </c>
      <c r="H950">
        <v>0</v>
      </c>
      <c r="I950" t="s">
        <v>2922</v>
      </c>
      <c r="J950" t="s">
        <v>2923</v>
      </c>
      <c r="K950" t="s">
        <v>19</v>
      </c>
      <c r="L950" t="s">
        <v>20</v>
      </c>
      <c r="M950">
        <v>95</v>
      </c>
      <c r="N950" t="s">
        <v>21</v>
      </c>
      <c r="O950" t="s">
        <v>22</v>
      </c>
      <c r="P950" t="s">
        <v>23</v>
      </c>
    </row>
    <row r="951" spans="1:16" x14ac:dyDescent="0.3">
      <c r="A951" t="s">
        <v>2924</v>
      </c>
      <c r="B951" t="s">
        <v>2925</v>
      </c>
      <c r="C951" s="1">
        <v>45436</v>
      </c>
      <c r="D951" s="1">
        <v>45436</v>
      </c>
      <c r="E951">
        <v>130</v>
      </c>
      <c r="F951">
        <v>130</v>
      </c>
      <c r="G951">
        <v>0</v>
      </c>
      <c r="H951">
        <v>0</v>
      </c>
      <c r="I951" t="s">
        <v>358</v>
      </c>
      <c r="J951" t="s">
        <v>359</v>
      </c>
      <c r="K951" t="s">
        <v>19</v>
      </c>
      <c r="L951" t="s">
        <v>20</v>
      </c>
      <c r="M951">
        <v>95</v>
      </c>
      <c r="N951" t="s">
        <v>21</v>
      </c>
      <c r="O951" t="s">
        <v>219</v>
      </c>
      <c r="P951" t="s">
        <v>220</v>
      </c>
    </row>
    <row r="952" spans="1:16" x14ac:dyDescent="0.3">
      <c r="A952" t="s">
        <v>2926</v>
      </c>
      <c r="B952" t="s">
        <v>2927</v>
      </c>
      <c r="C952" s="1">
        <v>45437</v>
      </c>
      <c r="D952" s="1">
        <v>45312</v>
      </c>
      <c r="E952">
        <v>600</v>
      </c>
      <c r="F952">
        <v>568.4</v>
      </c>
      <c r="G952">
        <v>-31.6</v>
      </c>
      <c r="H952">
        <v>-125</v>
      </c>
      <c r="I952" t="s">
        <v>108</v>
      </c>
      <c r="J952" t="s">
        <v>109</v>
      </c>
      <c r="K952" t="s">
        <v>278</v>
      </c>
      <c r="L952" t="s">
        <v>2928</v>
      </c>
      <c r="M952">
        <v>80</v>
      </c>
      <c r="N952" t="s">
        <v>93</v>
      </c>
      <c r="O952" t="s">
        <v>22</v>
      </c>
      <c r="P952" t="s">
        <v>23</v>
      </c>
    </row>
    <row r="953" spans="1:16" x14ac:dyDescent="0.3">
      <c r="A953" t="s">
        <v>2929</v>
      </c>
      <c r="B953" t="s">
        <v>161</v>
      </c>
      <c r="C953" s="1">
        <v>45437</v>
      </c>
      <c r="D953" s="1"/>
      <c r="E953">
        <v>50</v>
      </c>
      <c r="I953" t="s">
        <v>81</v>
      </c>
      <c r="J953" t="s">
        <v>161</v>
      </c>
      <c r="K953" t="s">
        <v>162</v>
      </c>
      <c r="L953" t="s">
        <v>163</v>
      </c>
      <c r="M953">
        <v>0</v>
      </c>
      <c r="N953" t="s">
        <v>164</v>
      </c>
      <c r="O953" t="s">
        <v>22</v>
      </c>
      <c r="P953" t="s">
        <v>23</v>
      </c>
    </row>
    <row r="954" spans="1:16" x14ac:dyDescent="0.3">
      <c r="A954" t="s">
        <v>2930</v>
      </c>
      <c r="B954" t="s">
        <v>2931</v>
      </c>
      <c r="C954" s="1">
        <v>45437</v>
      </c>
      <c r="D954" s="1">
        <v>45437</v>
      </c>
      <c r="E954">
        <v>60</v>
      </c>
      <c r="F954">
        <v>60</v>
      </c>
      <c r="G954">
        <v>0</v>
      </c>
      <c r="H954">
        <v>0</v>
      </c>
      <c r="I954" t="s">
        <v>2932</v>
      </c>
      <c r="J954" t="s">
        <v>2933</v>
      </c>
      <c r="K954" t="s">
        <v>19</v>
      </c>
      <c r="L954" t="s">
        <v>20</v>
      </c>
      <c r="M954">
        <v>95</v>
      </c>
      <c r="N954" t="s">
        <v>21</v>
      </c>
      <c r="O954" t="s">
        <v>22</v>
      </c>
      <c r="P954" t="s">
        <v>23</v>
      </c>
    </row>
    <row r="955" spans="1:16" x14ac:dyDescent="0.3">
      <c r="A955" t="s">
        <v>2934</v>
      </c>
      <c r="B955" t="s">
        <v>2935</v>
      </c>
      <c r="C955" s="1">
        <v>45437</v>
      </c>
      <c r="D955" s="1">
        <v>45437</v>
      </c>
      <c r="E955">
        <v>10</v>
      </c>
      <c r="F955">
        <v>10</v>
      </c>
      <c r="G955">
        <v>0</v>
      </c>
      <c r="H955">
        <v>0</v>
      </c>
      <c r="I955" t="s">
        <v>2932</v>
      </c>
      <c r="J955" t="s">
        <v>2933</v>
      </c>
      <c r="K955" t="s">
        <v>91</v>
      </c>
      <c r="L955" t="s">
        <v>92</v>
      </c>
      <c r="M955">
        <v>85</v>
      </c>
      <c r="N955" t="s">
        <v>93</v>
      </c>
      <c r="O955" t="s">
        <v>219</v>
      </c>
      <c r="P955" t="s">
        <v>220</v>
      </c>
    </row>
    <row r="956" spans="1:16" x14ac:dyDescent="0.3">
      <c r="A956" t="s">
        <v>2936</v>
      </c>
      <c r="B956" t="s">
        <v>2937</v>
      </c>
      <c r="C956" s="1">
        <v>45437</v>
      </c>
      <c r="D956" s="1">
        <v>45437</v>
      </c>
      <c r="E956">
        <v>640</v>
      </c>
      <c r="F956">
        <v>640</v>
      </c>
      <c r="G956">
        <v>0</v>
      </c>
      <c r="H956">
        <v>0</v>
      </c>
      <c r="I956" t="s">
        <v>2932</v>
      </c>
      <c r="J956" t="s">
        <v>2933</v>
      </c>
      <c r="K956" t="s">
        <v>19</v>
      </c>
      <c r="L956" t="s">
        <v>20</v>
      </c>
      <c r="M956">
        <v>95</v>
      </c>
      <c r="N956" t="s">
        <v>21</v>
      </c>
      <c r="O956" t="s">
        <v>22</v>
      </c>
      <c r="P956" t="s">
        <v>23</v>
      </c>
    </row>
    <row r="957" spans="1:16" x14ac:dyDescent="0.3">
      <c r="A957" t="s">
        <v>2938</v>
      </c>
      <c r="B957" t="s">
        <v>2939</v>
      </c>
      <c r="C957" s="1">
        <v>45437</v>
      </c>
      <c r="D957" s="1">
        <v>45437</v>
      </c>
      <c r="E957">
        <v>130</v>
      </c>
      <c r="F957">
        <v>130</v>
      </c>
      <c r="G957">
        <v>0</v>
      </c>
      <c r="H957">
        <v>0</v>
      </c>
      <c r="I957" t="s">
        <v>358</v>
      </c>
      <c r="J957" t="s">
        <v>359</v>
      </c>
      <c r="K957" t="s">
        <v>19</v>
      </c>
      <c r="L957" t="s">
        <v>20</v>
      </c>
      <c r="M957">
        <v>95</v>
      </c>
      <c r="N957" t="s">
        <v>21</v>
      </c>
      <c r="O957" t="s">
        <v>22</v>
      </c>
      <c r="P957" t="s">
        <v>23</v>
      </c>
    </row>
    <row r="958" spans="1:16" x14ac:dyDescent="0.3">
      <c r="A958" t="s">
        <v>2940</v>
      </c>
      <c r="B958" t="s">
        <v>2941</v>
      </c>
      <c r="C958" s="1">
        <v>45437</v>
      </c>
      <c r="D958" s="1">
        <v>45437</v>
      </c>
      <c r="E958">
        <v>10</v>
      </c>
      <c r="F958">
        <v>10</v>
      </c>
      <c r="G958">
        <v>0</v>
      </c>
      <c r="H958">
        <v>0</v>
      </c>
      <c r="I958" t="s">
        <v>2932</v>
      </c>
      <c r="J958" t="s">
        <v>2933</v>
      </c>
      <c r="K958" t="s">
        <v>19</v>
      </c>
      <c r="L958" t="s">
        <v>20</v>
      </c>
      <c r="M958">
        <v>95</v>
      </c>
      <c r="N958" t="s">
        <v>21</v>
      </c>
      <c r="O958" t="s">
        <v>219</v>
      </c>
      <c r="P958" t="s">
        <v>220</v>
      </c>
    </row>
    <row r="959" spans="1:16" x14ac:dyDescent="0.3">
      <c r="A959" t="s">
        <v>2942</v>
      </c>
      <c r="B959" t="s">
        <v>2943</v>
      </c>
      <c r="C959" s="1">
        <v>45437</v>
      </c>
      <c r="D959" s="1">
        <v>45441</v>
      </c>
      <c r="E959">
        <v>80</v>
      </c>
      <c r="F959">
        <v>80</v>
      </c>
      <c r="G959">
        <v>0</v>
      </c>
      <c r="H959">
        <v>4</v>
      </c>
      <c r="I959" t="s">
        <v>441</v>
      </c>
      <c r="J959" t="s">
        <v>442</v>
      </c>
      <c r="K959" t="s">
        <v>235</v>
      </c>
      <c r="L959" t="s">
        <v>2329</v>
      </c>
      <c r="M959">
        <v>65</v>
      </c>
      <c r="N959" t="s">
        <v>164</v>
      </c>
      <c r="O959" t="s">
        <v>22</v>
      </c>
      <c r="P959" t="s">
        <v>23</v>
      </c>
    </row>
    <row r="960" spans="1:16" x14ac:dyDescent="0.3">
      <c r="A960" t="s">
        <v>2944</v>
      </c>
      <c r="B960" t="s">
        <v>2945</v>
      </c>
      <c r="C960" s="1">
        <v>45437</v>
      </c>
      <c r="D960" s="1">
        <v>45437</v>
      </c>
      <c r="E960">
        <v>20</v>
      </c>
      <c r="F960">
        <v>20</v>
      </c>
      <c r="G960">
        <v>0</v>
      </c>
      <c r="H960">
        <v>0</v>
      </c>
      <c r="I960" t="s">
        <v>2901</v>
      </c>
      <c r="J960" t="s">
        <v>2902</v>
      </c>
      <c r="K960" t="s">
        <v>19</v>
      </c>
      <c r="L960" t="s">
        <v>20</v>
      </c>
      <c r="M960">
        <v>95</v>
      </c>
      <c r="N960" t="s">
        <v>21</v>
      </c>
      <c r="O960" t="s">
        <v>22</v>
      </c>
      <c r="P960" t="s">
        <v>23</v>
      </c>
    </row>
    <row r="961" spans="1:16" x14ac:dyDescent="0.3">
      <c r="A961" t="s">
        <v>2946</v>
      </c>
      <c r="B961" t="s">
        <v>2947</v>
      </c>
      <c r="C961" s="1">
        <v>45437</v>
      </c>
      <c r="D961" s="1">
        <v>45437</v>
      </c>
      <c r="E961">
        <v>1000</v>
      </c>
      <c r="F961">
        <v>1000</v>
      </c>
      <c r="G961">
        <v>0</v>
      </c>
      <c r="H961">
        <v>0</v>
      </c>
      <c r="I961" t="s">
        <v>89</v>
      </c>
      <c r="J961" t="s">
        <v>90</v>
      </c>
      <c r="K961" t="s">
        <v>19</v>
      </c>
      <c r="L961" t="s">
        <v>20</v>
      </c>
      <c r="M961">
        <v>95</v>
      </c>
      <c r="N961" t="s">
        <v>21</v>
      </c>
      <c r="O961" t="s">
        <v>22</v>
      </c>
      <c r="P961" t="s">
        <v>23</v>
      </c>
    </row>
    <row r="962" spans="1:16" x14ac:dyDescent="0.3">
      <c r="A962" t="s">
        <v>2948</v>
      </c>
      <c r="B962" t="s">
        <v>2949</v>
      </c>
      <c r="C962" s="1">
        <v>45438</v>
      </c>
      <c r="D962" s="1">
        <v>45438</v>
      </c>
      <c r="E962">
        <v>20</v>
      </c>
      <c r="F962">
        <v>20</v>
      </c>
      <c r="G962">
        <v>0</v>
      </c>
      <c r="H962">
        <v>0</v>
      </c>
      <c r="I962" t="s">
        <v>2950</v>
      </c>
      <c r="J962" t="s">
        <v>2951</v>
      </c>
      <c r="K962" t="s">
        <v>19</v>
      </c>
      <c r="L962" t="s">
        <v>20</v>
      </c>
      <c r="M962">
        <v>95</v>
      </c>
      <c r="N962" t="s">
        <v>21</v>
      </c>
      <c r="O962" t="s">
        <v>22</v>
      </c>
      <c r="P962" t="s">
        <v>23</v>
      </c>
    </row>
    <row r="963" spans="1:16" x14ac:dyDescent="0.3">
      <c r="A963" t="s">
        <v>2952</v>
      </c>
      <c r="B963" t="s">
        <v>2953</v>
      </c>
      <c r="C963" s="1">
        <v>45438</v>
      </c>
      <c r="D963" s="1">
        <v>45438</v>
      </c>
      <c r="E963">
        <v>30</v>
      </c>
      <c r="F963">
        <v>30</v>
      </c>
      <c r="G963">
        <v>0</v>
      </c>
      <c r="H963">
        <v>0</v>
      </c>
      <c r="I963" t="s">
        <v>96</v>
      </c>
      <c r="J963" t="s">
        <v>97</v>
      </c>
      <c r="K963" t="s">
        <v>91</v>
      </c>
      <c r="L963" t="s">
        <v>92</v>
      </c>
      <c r="M963">
        <v>85</v>
      </c>
      <c r="N963" t="s">
        <v>93</v>
      </c>
      <c r="O963" t="s">
        <v>22</v>
      </c>
      <c r="P963" t="s">
        <v>23</v>
      </c>
    </row>
    <row r="964" spans="1:16" x14ac:dyDescent="0.3">
      <c r="A964" t="s">
        <v>2954</v>
      </c>
      <c r="B964" t="s">
        <v>2955</v>
      </c>
      <c r="C964" s="1">
        <v>45438</v>
      </c>
      <c r="D964" s="1">
        <v>45438</v>
      </c>
      <c r="E964">
        <v>30</v>
      </c>
      <c r="F964">
        <v>30</v>
      </c>
      <c r="G964">
        <v>0</v>
      </c>
      <c r="H964">
        <v>0</v>
      </c>
      <c r="I964" t="s">
        <v>2950</v>
      </c>
      <c r="J964" t="s">
        <v>2951</v>
      </c>
      <c r="K964" t="s">
        <v>91</v>
      </c>
      <c r="L964" t="s">
        <v>92</v>
      </c>
      <c r="M964">
        <v>85</v>
      </c>
      <c r="N964" t="s">
        <v>93</v>
      </c>
      <c r="O964" t="s">
        <v>219</v>
      </c>
      <c r="P964" t="s">
        <v>220</v>
      </c>
    </row>
    <row r="965" spans="1:16" x14ac:dyDescent="0.3">
      <c r="A965" t="s">
        <v>2956</v>
      </c>
      <c r="B965" t="s">
        <v>2957</v>
      </c>
      <c r="C965" s="1">
        <v>45438</v>
      </c>
      <c r="D965" s="1">
        <v>45438</v>
      </c>
      <c r="E965">
        <v>30</v>
      </c>
      <c r="F965">
        <v>30</v>
      </c>
      <c r="G965">
        <v>0</v>
      </c>
      <c r="H965">
        <v>0</v>
      </c>
      <c r="I965" t="s">
        <v>2950</v>
      </c>
      <c r="J965" t="s">
        <v>2951</v>
      </c>
      <c r="K965" t="s">
        <v>19</v>
      </c>
      <c r="L965" t="s">
        <v>20</v>
      </c>
      <c r="M965">
        <v>95</v>
      </c>
      <c r="N965" t="s">
        <v>21</v>
      </c>
      <c r="O965" t="s">
        <v>219</v>
      </c>
      <c r="P965" t="s">
        <v>220</v>
      </c>
    </row>
    <row r="966" spans="1:16" x14ac:dyDescent="0.3">
      <c r="A966" t="s">
        <v>2958</v>
      </c>
      <c r="B966" t="s">
        <v>2959</v>
      </c>
      <c r="C966" s="1">
        <v>45438</v>
      </c>
      <c r="D966" s="1">
        <v>45438</v>
      </c>
      <c r="E966">
        <v>400</v>
      </c>
      <c r="F966">
        <v>400</v>
      </c>
      <c r="G966">
        <v>0</v>
      </c>
      <c r="H966">
        <v>0</v>
      </c>
      <c r="I966" t="s">
        <v>2960</v>
      </c>
      <c r="J966" t="s">
        <v>2961</v>
      </c>
      <c r="K966" t="s">
        <v>19</v>
      </c>
      <c r="L966" t="s">
        <v>20</v>
      </c>
      <c r="M966">
        <v>95</v>
      </c>
      <c r="N966" t="s">
        <v>21</v>
      </c>
      <c r="O966" t="s">
        <v>22</v>
      </c>
      <c r="P966" t="s">
        <v>23</v>
      </c>
    </row>
    <row r="967" spans="1:16" x14ac:dyDescent="0.3">
      <c r="A967" t="s">
        <v>2962</v>
      </c>
      <c r="B967" t="s">
        <v>2963</v>
      </c>
      <c r="C967" s="1">
        <v>45438</v>
      </c>
      <c r="D967" s="1">
        <v>45438</v>
      </c>
      <c r="E967">
        <v>10</v>
      </c>
      <c r="F967">
        <v>9.5</v>
      </c>
      <c r="G967">
        <v>-0.5</v>
      </c>
      <c r="H967">
        <v>0</v>
      </c>
      <c r="I967" t="s">
        <v>2964</v>
      </c>
      <c r="J967" t="s">
        <v>896</v>
      </c>
      <c r="K967" t="s">
        <v>278</v>
      </c>
      <c r="L967" t="s">
        <v>2965</v>
      </c>
      <c r="M967">
        <v>80</v>
      </c>
      <c r="N967" t="s">
        <v>93</v>
      </c>
      <c r="O967" t="s">
        <v>22</v>
      </c>
      <c r="P967" t="s">
        <v>23</v>
      </c>
    </row>
    <row r="968" spans="1:16" x14ac:dyDescent="0.3">
      <c r="A968" t="s">
        <v>2966</v>
      </c>
      <c r="B968" t="s">
        <v>2967</v>
      </c>
      <c r="C968" s="1">
        <v>45438</v>
      </c>
      <c r="D968" s="1">
        <v>45438</v>
      </c>
      <c r="E968">
        <v>216</v>
      </c>
      <c r="F968">
        <v>216</v>
      </c>
      <c r="G968">
        <v>0</v>
      </c>
      <c r="H968">
        <v>0</v>
      </c>
      <c r="I968" t="s">
        <v>304</v>
      </c>
      <c r="J968" t="s">
        <v>305</v>
      </c>
      <c r="K968" t="s">
        <v>19</v>
      </c>
      <c r="L968" t="s">
        <v>20</v>
      </c>
      <c r="M968">
        <v>95</v>
      </c>
      <c r="N968" t="s">
        <v>21</v>
      </c>
      <c r="O968" t="s">
        <v>22</v>
      </c>
      <c r="P968" t="s">
        <v>23</v>
      </c>
    </row>
    <row r="969" spans="1:16" x14ac:dyDescent="0.3">
      <c r="A969" t="s">
        <v>2968</v>
      </c>
      <c r="B969" t="s">
        <v>2969</v>
      </c>
      <c r="C969" s="1">
        <v>45439</v>
      </c>
      <c r="D969" s="1">
        <v>45439</v>
      </c>
      <c r="E969">
        <v>260</v>
      </c>
      <c r="F969">
        <v>260</v>
      </c>
      <c r="G969">
        <v>0</v>
      </c>
      <c r="H969">
        <v>0</v>
      </c>
      <c r="I969" t="s">
        <v>358</v>
      </c>
      <c r="J969" t="s">
        <v>359</v>
      </c>
      <c r="K969" t="s">
        <v>19</v>
      </c>
      <c r="L969" t="s">
        <v>20</v>
      </c>
      <c r="M969">
        <v>95</v>
      </c>
      <c r="N969" t="s">
        <v>21</v>
      </c>
      <c r="O969" t="s">
        <v>22</v>
      </c>
      <c r="P969" t="s">
        <v>23</v>
      </c>
    </row>
    <row r="970" spans="1:16" x14ac:dyDescent="0.3">
      <c r="A970" t="s">
        <v>2970</v>
      </c>
      <c r="B970" t="s">
        <v>2971</v>
      </c>
      <c r="C970" s="1">
        <v>45439</v>
      </c>
      <c r="D970" s="1">
        <v>45439</v>
      </c>
      <c r="E970">
        <v>50</v>
      </c>
      <c r="F970">
        <v>50</v>
      </c>
      <c r="G970">
        <v>0</v>
      </c>
      <c r="H970">
        <v>0</v>
      </c>
      <c r="I970" t="s">
        <v>441</v>
      </c>
      <c r="J970" t="s">
        <v>442</v>
      </c>
      <c r="K970" t="s">
        <v>19</v>
      </c>
      <c r="L970" t="s">
        <v>20</v>
      </c>
      <c r="M970">
        <v>95</v>
      </c>
      <c r="N970" t="s">
        <v>21</v>
      </c>
      <c r="O970" t="s">
        <v>22</v>
      </c>
      <c r="P970" t="s">
        <v>23</v>
      </c>
    </row>
    <row r="971" spans="1:16" x14ac:dyDescent="0.3">
      <c r="A971" t="s">
        <v>2972</v>
      </c>
      <c r="B971" t="s">
        <v>2973</v>
      </c>
      <c r="C971" s="1">
        <v>45439</v>
      </c>
      <c r="D971" s="1">
        <v>45439</v>
      </c>
      <c r="E971">
        <v>20</v>
      </c>
      <c r="F971">
        <v>20</v>
      </c>
      <c r="G971">
        <v>0</v>
      </c>
      <c r="H971">
        <v>0</v>
      </c>
      <c r="I971" t="s">
        <v>304</v>
      </c>
      <c r="J971" t="s">
        <v>305</v>
      </c>
      <c r="K971" t="s">
        <v>19</v>
      </c>
      <c r="L971" t="s">
        <v>20</v>
      </c>
      <c r="M971">
        <v>95</v>
      </c>
      <c r="N971" t="s">
        <v>21</v>
      </c>
      <c r="O971" t="s">
        <v>22</v>
      </c>
      <c r="P971" t="s">
        <v>23</v>
      </c>
    </row>
    <row r="972" spans="1:16" x14ac:dyDescent="0.3">
      <c r="A972" t="s">
        <v>2974</v>
      </c>
      <c r="B972" t="s">
        <v>2975</v>
      </c>
      <c r="C972" s="1">
        <v>45439</v>
      </c>
      <c r="D972" s="1">
        <v>45439</v>
      </c>
      <c r="E972">
        <v>130</v>
      </c>
      <c r="F972">
        <v>130</v>
      </c>
      <c r="G972">
        <v>0</v>
      </c>
      <c r="H972">
        <v>0</v>
      </c>
      <c r="I972" t="s">
        <v>358</v>
      </c>
      <c r="J972" t="s">
        <v>359</v>
      </c>
      <c r="K972" t="s">
        <v>19</v>
      </c>
      <c r="L972" t="s">
        <v>20</v>
      </c>
      <c r="M972">
        <v>95</v>
      </c>
      <c r="N972" t="s">
        <v>21</v>
      </c>
      <c r="O972" t="s">
        <v>22</v>
      </c>
      <c r="P972" t="s">
        <v>23</v>
      </c>
    </row>
    <row r="973" spans="1:16" x14ac:dyDescent="0.3">
      <c r="A973" t="s">
        <v>2976</v>
      </c>
      <c r="B973" t="s">
        <v>2977</v>
      </c>
      <c r="C973" s="1">
        <v>45439</v>
      </c>
      <c r="D973" s="1">
        <v>45439</v>
      </c>
      <c r="E973">
        <v>175</v>
      </c>
      <c r="F973">
        <v>175</v>
      </c>
      <c r="G973">
        <v>0</v>
      </c>
      <c r="H973">
        <v>0</v>
      </c>
      <c r="I973" t="s">
        <v>2978</v>
      </c>
      <c r="J973" t="s">
        <v>2979</v>
      </c>
      <c r="K973" t="s">
        <v>19</v>
      </c>
      <c r="L973" t="s">
        <v>20</v>
      </c>
      <c r="M973">
        <v>95</v>
      </c>
      <c r="N973" t="s">
        <v>21</v>
      </c>
      <c r="O973" t="s">
        <v>22</v>
      </c>
      <c r="P973" t="s">
        <v>23</v>
      </c>
    </row>
    <row r="974" spans="1:16" x14ac:dyDescent="0.3">
      <c r="A974" t="s">
        <v>2980</v>
      </c>
      <c r="B974" t="s">
        <v>2981</v>
      </c>
      <c r="C974" s="1">
        <v>45440</v>
      </c>
      <c r="D974" s="1">
        <v>45440</v>
      </c>
      <c r="E974">
        <v>210</v>
      </c>
      <c r="F974">
        <v>210</v>
      </c>
      <c r="G974">
        <v>0</v>
      </c>
      <c r="H974">
        <v>0</v>
      </c>
      <c r="I974" t="s">
        <v>108</v>
      </c>
      <c r="J974" t="s">
        <v>109</v>
      </c>
      <c r="K974" t="s">
        <v>19</v>
      </c>
      <c r="L974" t="s">
        <v>110</v>
      </c>
      <c r="M974">
        <v>100</v>
      </c>
      <c r="N974" t="s">
        <v>21</v>
      </c>
      <c r="O974" t="s">
        <v>22</v>
      </c>
      <c r="P974" t="s">
        <v>23</v>
      </c>
    </row>
    <row r="975" spans="1:16" x14ac:dyDescent="0.3">
      <c r="A975" t="s">
        <v>2982</v>
      </c>
      <c r="B975" t="s">
        <v>2983</v>
      </c>
      <c r="C975" s="1">
        <v>45440</v>
      </c>
      <c r="D975" s="1">
        <v>45440</v>
      </c>
      <c r="E975">
        <v>130</v>
      </c>
      <c r="F975">
        <v>130</v>
      </c>
      <c r="G975">
        <v>0</v>
      </c>
      <c r="H975">
        <v>0</v>
      </c>
      <c r="I975" t="s">
        <v>358</v>
      </c>
      <c r="J975" t="s">
        <v>359</v>
      </c>
      <c r="K975" t="s">
        <v>91</v>
      </c>
      <c r="L975" t="s">
        <v>92</v>
      </c>
      <c r="M975">
        <v>85</v>
      </c>
      <c r="N975" t="s">
        <v>93</v>
      </c>
      <c r="O975" t="s">
        <v>219</v>
      </c>
      <c r="P975" t="s">
        <v>220</v>
      </c>
    </row>
    <row r="976" spans="1:16" x14ac:dyDescent="0.3">
      <c r="A976" t="s">
        <v>2984</v>
      </c>
      <c r="B976" t="s">
        <v>2985</v>
      </c>
      <c r="C976" s="1">
        <v>45440</v>
      </c>
      <c r="D976" s="1">
        <v>45440</v>
      </c>
      <c r="E976">
        <v>130</v>
      </c>
      <c r="F976">
        <v>130</v>
      </c>
      <c r="G976">
        <v>0</v>
      </c>
      <c r="H976">
        <v>0</v>
      </c>
      <c r="I976" t="s">
        <v>358</v>
      </c>
      <c r="J976" t="s">
        <v>359</v>
      </c>
      <c r="K976" t="s">
        <v>19</v>
      </c>
      <c r="L976" t="s">
        <v>20</v>
      </c>
      <c r="M976">
        <v>95</v>
      </c>
      <c r="N976" t="s">
        <v>21</v>
      </c>
      <c r="O976" t="s">
        <v>219</v>
      </c>
      <c r="P976" t="s">
        <v>220</v>
      </c>
    </row>
    <row r="977" spans="1:16" x14ac:dyDescent="0.3">
      <c r="A977" t="s">
        <v>2986</v>
      </c>
      <c r="B977" t="s">
        <v>2987</v>
      </c>
      <c r="C977" s="1">
        <v>45441</v>
      </c>
      <c r="D977" s="1">
        <v>45441</v>
      </c>
      <c r="E977">
        <v>150</v>
      </c>
      <c r="F977">
        <v>150</v>
      </c>
      <c r="G977">
        <v>0</v>
      </c>
      <c r="H977">
        <v>0</v>
      </c>
      <c r="I977" t="s">
        <v>108</v>
      </c>
      <c r="J977" t="s">
        <v>109</v>
      </c>
      <c r="K977" t="s">
        <v>19</v>
      </c>
      <c r="L977" t="s">
        <v>110</v>
      </c>
      <c r="M977">
        <v>100</v>
      </c>
      <c r="N977" t="s">
        <v>21</v>
      </c>
      <c r="O977" t="s">
        <v>22</v>
      </c>
      <c r="P977" t="s">
        <v>23</v>
      </c>
    </row>
    <row r="978" spans="1:16" x14ac:dyDescent="0.3">
      <c r="A978" t="s">
        <v>2988</v>
      </c>
      <c r="B978" t="s">
        <v>2989</v>
      </c>
      <c r="C978" s="1">
        <v>45441</v>
      </c>
      <c r="D978" s="1">
        <v>45441</v>
      </c>
      <c r="E978">
        <v>241</v>
      </c>
      <c r="F978">
        <v>240.9</v>
      </c>
      <c r="G978">
        <v>0</v>
      </c>
      <c r="H978">
        <v>0</v>
      </c>
      <c r="I978" t="s">
        <v>2652</v>
      </c>
      <c r="J978" t="s">
        <v>2653</v>
      </c>
      <c r="K978" t="s">
        <v>19</v>
      </c>
      <c r="L978" t="s">
        <v>20</v>
      </c>
      <c r="M978">
        <v>95</v>
      </c>
      <c r="N978" t="s">
        <v>21</v>
      </c>
      <c r="O978" t="s">
        <v>22</v>
      </c>
      <c r="P978" t="s">
        <v>23</v>
      </c>
    </row>
    <row r="979" spans="1:16" x14ac:dyDescent="0.3">
      <c r="A979" t="s">
        <v>2990</v>
      </c>
      <c r="B979" t="s">
        <v>2991</v>
      </c>
      <c r="C979" s="1">
        <v>45441</v>
      </c>
      <c r="D979" s="1">
        <v>45441</v>
      </c>
      <c r="E979">
        <v>130</v>
      </c>
      <c r="F979">
        <v>130</v>
      </c>
      <c r="G979">
        <v>0</v>
      </c>
      <c r="H979">
        <v>0</v>
      </c>
      <c r="I979" t="s">
        <v>358</v>
      </c>
      <c r="J979" t="s">
        <v>359</v>
      </c>
      <c r="K979" t="s">
        <v>19</v>
      </c>
      <c r="L979" t="s">
        <v>20</v>
      </c>
      <c r="M979">
        <v>95</v>
      </c>
      <c r="N979" t="s">
        <v>21</v>
      </c>
      <c r="O979" t="s">
        <v>22</v>
      </c>
      <c r="P979" t="s">
        <v>23</v>
      </c>
    </row>
    <row r="980" spans="1:16" x14ac:dyDescent="0.3">
      <c r="A980" t="s">
        <v>2992</v>
      </c>
      <c r="B980" t="s">
        <v>2993</v>
      </c>
      <c r="C980" s="1">
        <v>45441</v>
      </c>
      <c r="D980" s="1">
        <v>45441</v>
      </c>
      <c r="E980">
        <v>300</v>
      </c>
      <c r="F980">
        <v>300</v>
      </c>
      <c r="G980">
        <v>0</v>
      </c>
      <c r="H980">
        <v>0</v>
      </c>
      <c r="I980" t="s">
        <v>2994</v>
      </c>
      <c r="J980" t="s">
        <v>2995</v>
      </c>
      <c r="K980" t="s">
        <v>19</v>
      </c>
      <c r="L980" t="s">
        <v>20</v>
      </c>
      <c r="M980">
        <v>95</v>
      </c>
      <c r="N980" t="s">
        <v>21</v>
      </c>
      <c r="O980" t="s">
        <v>22</v>
      </c>
      <c r="P980" t="s">
        <v>23</v>
      </c>
    </row>
    <row r="981" spans="1:16" x14ac:dyDescent="0.3">
      <c r="A981" t="s">
        <v>2996</v>
      </c>
      <c r="B981" t="s">
        <v>2997</v>
      </c>
      <c r="C981" s="1">
        <v>45441</v>
      </c>
      <c r="D981" s="1">
        <v>45441</v>
      </c>
      <c r="E981">
        <v>245</v>
      </c>
      <c r="F981">
        <v>245</v>
      </c>
      <c r="G981">
        <v>0</v>
      </c>
      <c r="H981">
        <v>0</v>
      </c>
      <c r="I981" t="s">
        <v>2998</v>
      </c>
      <c r="J981" t="s">
        <v>2999</v>
      </c>
      <c r="K981" t="s">
        <v>19</v>
      </c>
      <c r="L981" t="s">
        <v>20</v>
      </c>
      <c r="M981">
        <v>95</v>
      </c>
      <c r="N981" t="s">
        <v>21</v>
      </c>
      <c r="O981" t="s">
        <v>22</v>
      </c>
      <c r="P981" t="s">
        <v>23</v>
      </c>
    </row>
    <row r="982" spans="1:16" x14ac:dyDescent="0.3">
      <c r="A982" t="s">
        <v>3000</v>
      </c>
      <c r="B982" t="s">
        <v>3001</v>
      </c>
      <c r="C982" s="1">
        <v>45441</v>
      </c>
      <c r="D982" s="1">
        <v>45422</v>
      </c>
      <c r="E982">
        <v>80</v>
      </c>
      <c r="F982">
        <v>78.400000000000006</v>
      </c>
      <c r="G982">
        <v>-1.6</v>
      </c>
      <c r="H982">
        <v>-19</v>
      </c>
      <c r="I982" t="s">
        <v>441</v>
      </c>
      <c r="J982" t="s">
        <v>442</v>
      </c>
      <c r="K982" t="s">
        <v>278</v>
      </c>
      <c r="L982" t="s">
        <v>3002</v>
      </c>
      <c r="M982">
        <v>80</v>
      </c>
      <c r="N982" t="s">
        <v>93</v>
      </c>
      <c r="O982" t="s">
        <v>22</v>
      </c>
      <c r="P982" t="s">
        <v>23</v>
      </c>
    </row>
    <row r="983" spans="1:16" x14ac:dyDescent="0.3">
      <c r="A983" t="s">
        <v>3003</v>
      </c>
      <c r="B983" t="s">
        <v>3004</v>
      </c>
      <c r="C983" s="1">
        <v>45442</v>
      </c>
      <c r="D983" s="1">
        <v>45204</v>
      </c>
      <c r="E983">
        <v>938</v>
      </c>
      <c r="F983">
        <v>408</v>
      </c>
      <c r="G983">
        <v>-530</v>
      </c>
      <c r="H983">
        <v>-238</v>
      </c>
      <c r="I983" t="s">
        <v>108</v>
      </c>
      <c r="J983" t="s">
        <v>109</v>
      </c>
      <c r="K983" t="s">
        <v>278</v>
      </c>
      <c r="L983" t="s">
        <v>3005</v>
      </c>
      <c r="M983">
        <v>80</v>
      </c>
      <c r="N983" t="s">
        <v>93</v>
      </c>
      <c r="O983" t="s">
        <v>22</v>
      </c>
      <c r="P983" t="s">
        <v>23</v>
      </c>
    </row>
    <row r="984" spans="1:16" x14ac:dyDescent="0.3">
      <c r="A984" t="s">
        <v>3006</v>
      </c>
      <c r="B984" t="s">
        <v>3007</v>
      </c>
      <c r="C984" s="1">
        <v>45442</v>
      </c>
      <c r="D984" s="1">
        <v>45442</v>
      </c>
      <c r="E984">
        <v>60</v>
      </c>
      <c r="F984">
        <v>60</v>
      </c>
      <c r="G984">
        <v>0</v>
      </c>
      <c r="H984">
        <v>0</v>
      </c>
      <c r="I984" t="s">
        <v>3008</v>
      </c>
      <c r="J984" t="s">
        <v>3009</v>
      </c>
      <c r="K984" t="s">
        <v>19</v>
      </c>
      <c r="L984" t="s">
        <v>20</v>
      </c>
      <c r="M984">
        <v>95</v>
      </c>
      <c r="N984" t="s">
        <v>21</v>
      </c>
      <c r="O984" t="s">
        <v>22</v>
      </c>
      <c r="P984" t="s">
        <v>23</v>
      </c>
    </row>
    <row r="985" spans="1:16" x14ac:dyDescent="0.3">
      <c r="A985" t="s">
        <v>3010</v>
      </c>
      <c r="B985" t="s">
        <v>3011</v>
      </c>
      <c r="C985" s="1">
        <v>45442</v>
      </c>
      <c r="D985" s="1">
        <v>45442</v>
      </c>
      <c r="E985">
        <v>130</v>
      </c>
      <c r="F985">
        <v>130</v>
      </c>
      <c r="G985">
        <v>0</v>
      </c>
      <c r="H985">
        <v>0</v>
      </c>
      <c r="I985" t="s">
        <v>3008</v>
      </c>
      <c r="J985" t="s">
        <v>3009</v>
      </c>
      <c r="K985" t="s">
        <v>19</v>
      </c>
      <c r="L985" t="s">
        <v>20</v>
      </c>
      <c r="M985">
        <v>95</v>
      </c>
      <c r="N985" t="s">
        <v>21</v>
      </c>
      <c r="O985" t="s">
        <v>22</v>
      </c>
      <c r="P985" t="s">
        <v>23</v>
      </c>
    </row>
    <row r="986" spans="1:16" x14ac:dyDescent="0.3">
      <c r="A986" t="s">
        <v>3012</v>
      </c>
      <c r="B986" t="s">
        <v>3013</v>
      </c>
      <c r="C986" s="1">
        <v>45442</v>
      </c>
      <c r="D986" s="1">
        <v>45442</v>
      </c>
      <c r="E986">
        <v>10</v>
      </c>
      <c r="F986">
        <v>10</v>
      </c>
      <c r="G986">
        <v>0</v>
      </c>
      <c r="H986">
        <v>0</v>
      </c>
      <c r="I986" t="s">
        <v>3008</v>
      </c>
      <c r="J986" t="s">
        <v>3009</v>
      </c>
      <c r="K986" t="s">
        <v>19</v>
      </c>
      <c r="L986" t="s">
        <v>20</v>
      </c>
      <c r="M986">
        <v>95</v>
      </c>
      <c r="N986" t="s">
        <v>21</v>
      </c>
      <c r="O986" t="s">
        <v>22</v>
      </c>
      <c r="P986" t="s">
        <v>23</v>
      </c>
    </row>
    <row r="987" spans="1:16" x14ac:dyDescent="0.3">
      <c r="A987" t="s">
        <v>161</v>
      </c>
      <c r="B987" t="s">
        <v>3014</v>
      </c>
      <c r="C987" s="1"/>
      <c r="D987" s="1">
        <v>45387</v>
      </c>
      <c r="F987">
        <v>136.5</v>
      </c>
      <c r="I987" t="s">
        <v>161</v>
      </c>
      <c r="J987" t="s">
        <v>359</v>
      </c>
      <c r="K987" t="s">
        <v>3015</v>
      </c>
      <c r="L987" t="s">
        <v>3016</v>
      </c>
      <c r="M987">
        <v>0</v>
      </c>
      <c r="N987" t="s">
        <v>164</v>
      </c>
      <c r="O987" t="s">
        <v>22</v>
      </c>
      <c r="P987" t="s">
        <v>23</v>
      </c>
    </row>
    <row r="988" spans="1:16" x14ac:dyDescent="0.3">
      <c r="A988" t="s">
        <v>161</v>
      </c>
      <c r="B988" t="s">
        <v>3017</v>
      </c>
      <c r="C988" s="1"/>
      <c r="D988" s="1">
        <v>45378</v>
      </c>
      <c r="F988">
        <v>20</v>
      </c>
      <c r="I988" t="s">
        <v>161</v>
      </c>
      <c r="J988" t="s">
        <v>2134</v>
      </c>
      <c r="K988" t="s">
        <v>3018</v>
      </c>
      <c r="L988" t="s">
        <v>3019</v>
      </c>
      <c r="M988">
        <v>0</v>
      </c>
      <c r="N988" t="s">
        <v>164</v>
      </c>
      <c r="O988" t="s">
        <v>219</v>
      </c>
      <c r="P988" t="s">
        <v>220</v>
      </c>
    </row>
    <row r="989" spans="1:16" x14ac:dyDescent="0.3">
      <c r="A989" t="s">
        <v>161</v>
      </c>
      <c r="B989" t="s">
        <v>3020</v>
      </c>
      <c r="C989" s="1"/>
      <c r="D989" s="1">
        <v>45355</v>
      </c>
      <c r="F989">
        <v>10</v>
      </c>
      <c r="I989" t="s">
        <v>161</v>
      </c>
      <c r="J989" t="s">
        <v>1924</v>
      </c>
      <c r="K989" t="s">
        <v>3018</v>
      </c>
      <c r="L989" t="s">
        <v>3019</v>
      </c>
      <c r="M989">
        <v>0</v>
      </c>
      <c r="N989" t="s">
        <v>164</v>
      </c>
      <c r="O989" t="s">
        <v>219</v>
      </c>
      <c r="P989" t="s">
        <v>220</v>
      </c>
    </row>
    <row r="990" spans="1:16" x14ac:dyDescent="0.3">
      <c r="A990" t="s">
        <v>161</v>
      </c>
      <c r="B990" t="s">
        <v>3021</v>
      </c>
      <c r="C990" s="1"/>
      <c r="D990" s="1">
        <v>45241</v>
      </c>
      <c r="F990">
        <v>330</v>
      </c>
      <c r="I990" t="s">
        <v>161</v>
      </c>
      <c r="J990" t="s">
        <v>858</v>
      </c>
      <c r="K990" t="s">
        <v>3018</v>
      </c>
      <c r="L990" t="s">
        <v>3019</v>
      </c>
      <c r="M990">
        <v>0</v>
      </c>
      <c r="N990" t="s">
        <v>164</v>
      </c>
      <c r="O990" t="s">
        <v>219</v>
      </c>
      <c r="P990" t="s">
        <v>220</v>
      </c>
    </row>
    <row r="991" spans="1:16" x14ac:dyDescent="0.3">
      <c r="A991" t="s">
        <v>161</v>
      </c>
      <c r="B991" t="s">
        <v>3022</v>
      </c>
      <c r="C991" s="1"/>
      <c r="D991" s="1">
        <v>45421</v>
      </c>
      <c r="F991">
        <v>30</v>
      </c>
      <c r="I991" t="s">
        <v>161</v>
      </c>
      <c r="J991" t="s">
        <v>2673</v>
      </c>
      <c r="K991" t="s">
        <v>3018</v>
      </c>
      <c r="L991" t="s">
        <v>3019</v>
      </c>
      <c r="M991">
        <v>0</v>
      </c>
      <c r="N991" t="s">
        <v>164</v>
      </c>
      <c r="O991" t="s">
        <v>219</v>
      </c>
      <c r="P991" t="s">
        <v>220</v>
      </c>
    </row>
    <row r="992" spans="1:16" x14ac:dyDescent="0.3">
      <c r="A992" t="s">
        <v>161</v>
      </c>
      <c r="B992" t="s">
        <v>3023</v>
      </c>
      <c r="C992" s="1"/>
      <c r="D992" s="1">
        <v>45186</v>
      </c>
      <c r="F992">
        <v>10</v>
      </c>
      <c r="I992" t="s">
        <v>161</v>
      </c>
      <c r="J992" t="s">
        <v>305</v>
      </c>
      <c r="K992" t="s">
        <v>3018</v>
      </c>
      <c r="L992" t="s">
        <v>3019</v>
      </c>
      <c r="M992">
        <v>0</v>
      </c>
      <c r="N992" t="s">
        <v>164</v>
      </c>
      <c r="O992" t="s">
        <v>219</v>
      </c>
      <c r="P992" t="s">
        <v>220</v>
      </c>
    </row>
    <row r="993" spans="1:16" x14ac:dyDescent="0.3">
      <c r="A993" t="s">
        <v>161</v>
      </c>
      <c r="B993" t="s">
        <v>3024</v>
      </c>
      <c r="C993" s="1"/>
      <c r="D993" s="1">
        <v>45357</v>
      </c>
      <c r="F993">
        <v>60</v>
      </c>
      <c r="I993" t="s">
        <v>161</v>
      </c>
      <c r="J993" t="s">
        <v>1934</v>
      </c>
      <c r="K993" t="s">
        <v>3018</v>
      </c>
      <c r="L993" t="s">
        <v>3019</v>
      </c>
      <c r="M993">
        <v>0</v>
      </c>
      <c r="N993" t="s">
        <v>164</v>
      </c>
      <c r="O993" t="s">
        <v>219</v>
      </c>
      <c r="P993" t="s">
        <v>220</v>
      </c>
    </row>
    <row r="994" spans="1:16" x14ac:dyDescent="0.3">
      <c r="A994" t="s">
        <v>161</v>
      </c>
      <c r="B994" t="s">
        <v>3025</v>
      </c>
      <c r="C994" s="1"/>
      <c r="D994" s="1">
        <v>45333</v>
      </c>
      <c r="F994">
        <v>15</v>
      </c>
      <c r="I994" t="s">
        <v>161</v>
      </c>
      <c r="J994" t="s">
        <v>1527</v>
      </c>
      <c r="K994" t="s">
        <v>3018</v>
      </c>
      <c r="L994" t="s">
        <v>3019</v>
      </c>
      <c r="M994">
        <v>0</v>
      </c>
      <c r="N994" t="s">
        <v>164</v>
      </c>
      <c r="O994" t="s">
        <v>219</v>
      </c>
      <c r="P994" t="s">
        <v>220</v>
      </c>
    </row>
  </sheetData>
  <pageMargins left="0.7" right="0.7" top="0.75" bottom="0.75" header="0.3" footer="0.3"/>
  <tableParts count="1">
    <tablePart r:id="rId1"/>
  </tablePar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B2:AB10"/>
  <sheetViews>
    <sheetView zoomScaleNormal="100" workbookViewId="0">
      <selection activeCell="J10" sqref="J10"/>
    </sheetView>
  </sheetViews>
  <sheetFormatPr defaultRowHeight="14.4" x14ac:dyDescent="0.3"/>
  <cols>
    <col min="2" max="2" width="12.5546875" bestFit="1" customWidth="1"/>
    <col min="10" max="10" width="12.5546875" bestFit="1" customWidth="1"/>
    <col min="14" max="14" width="26.77734375" bestFit="1" customWidth="1"/>
    <col min="15" max="15" width="20.33203125" bestFit="1" customWidth="1"/>
    <col min="27" max="27" width="26.77734375" bestFit="1" customWidth="1"/>
    <col min="28" max="28" width="20.33203125" bestFit="1" customWidth="1"/>
  </cols>
  <sheetData>
    <row r="2" spans="2:28" ht="23.4" x14ac:dyDescent="0.3">
      <c r="B2" s="12" t="s">
        <v>3026</v>
      </c>
      <c r="C2" s="12"/>
      <c r="D2" s="12"/>
      <c r="E2" s="12"/>
      <c r="F2" s="12"/>
      <c r="G2" s="12"/>
      <c r="H2" s="12"/>
      <c r="I2" s="12"/>
      <c r="J2" s="12"/>
      <c r="K2" s="12"/>
      <c r="L2" s="12"/>
      <c r="AA2" s="5" t="s">
        <v>3036</v>
      </c>
      <c r="AB2" t="s">
        <v>3038</v>
      </c>
    </row>
    <row r="3" spans="2:28" ht="15.6" x14ac:dyDescent="0.3">
      <c r="B3" s="4" t="s">
        <v>3027</v>
      </c>
      <c r="AA3" s="6" t="s">
        <v>278</v>
      </c>
      <c r="AB3">
        <v>33</v>
      </c>
    </row>
    <row r="4" spans="2:28" x14ac:dyDescent="0.3">
      <c r="AA4" s="6" t="s">
        <v>3018</v>
      </c>
      <c r="AB4">
        <v>7</v>
      </c>
    </row>
    <row r="5" spans="2:28" x14ac:dyDescent="0.3">
      <c r="B5" s="13" t="s">
        <v>3028</v>
      </c>
      <c r="C5" s="13"/>
      <c r="D5" s="13"/>
      <c r="F5" s="13" t="s">
        <v>3029</v>
      </c>
      <c r="G5" s="13"/>
      <c r="H5" s="13"/>
      <c r="J5" s="13" t="s">
        <v>3030</v>
      </c>
      <c r="K5" s="13"/>
      <c r="L5" s="13"/>
      <c r="AA5" s="6" t="s">
        <v>19</v>
      </c>
      <c r="AB5">
        <v>851</v>
      </c>
    </row>
    <row r="6" spans="2:28" ht="25.8" x14ac:dyDescent="0.3">
      <c r="B6" s="2" cm="1">
        <f t="array" ref="B6">COUNTA(_xlfn.UNIQUE(_xlfn._xlws.FILTER('Transaction Detail'!A2:A1000,'Transaction Detail'!A2:A1000&lt;&gt;"")))</f>
        <v>985</v>
      </c>
      <c r="F6" s="2" cm="1">
        <f t="array" ref="F6">COUNTA(_xlfn.UNIQUE(_xlfn._xlws.FILTER('Transaction Detail'!B2:B1000,'Transaction Detail'!B2:B1000&lt;&gt;"")))</f>
        <v>985</v>
      </c>
      <c r="J6" s="2">
        <f>COUNTIF('Transaction Detail'!K2:K1000,"Matched")</f>
        <v>851</v>
      </c>
      <c r="AA6" s="6" t="s">
        <v>91</v>
      </c>
      <c r="AB6">
        <v>65</v>
      </c>
    </row>
    <row r="7" spans="2:28" x14ac:dyDescent="0.3">
      <c r="AA7" s="6" t="s">
        <v>235</v>
      </c>
      <c r="AB7">
        <v>28</v>
      </c>
    </row>
    <row r="8" spans="2:28" x14ac:dyDescent="0.3">
      <c r="AA8" s="6" t="s">
        <v>162</v>
      </c>
      <c r="AB8">
        <v>8</v>
      </c>
    </row>
    <row r="9" spans="2:28" x14ac:dyDescent="0.3">
      <c r="B9" s="13" t="s">
        <v>3031</v>
      </c>
      <c r="C9" s="13"/>
      <c r="D9" s="13"/>
      <c r="F9" s="13" t="s">
        <v>3034</v>
      </c>
      <c r="G9" s="13"/>
      <c r="H9" s="13"/>
      <c r="J9" s="13" t="s">
        <v>3033</v>
      </c>
      <c r="K9" s="13"/>
      <c r="L9" s="13"/>
      <c r="AA9" s="6" t="s">
        <v>3015</v>
      </c>
      <c r="AB9">
        <v>1</v>
      </c>
    </row>
    <row r="10" spans="2:28" ht="25.8" x14ac:dyDescent="0.3">
      <c r="B10" s="3" cm="1">
        <f t="array" ref="B10">COUNTIF('Transaction Detail'!K2:K1000,"Matched")/COUNTA(_xlfn.UNIQUE(_xlfn._xlws.FILTER('Transaction Detail'!A2:A1000,'Transaction Detail'!A2:A1000&lt;&gt;"")))</f>
        <v>0.86395939086294415</v>
      </c>
      <c r="F10" s="2">
        <f>COUNTA('Transaction Detail'!K2:K1000)-COUNTIF('Transaction Detail'!K2:K1000,"Matched")</f>
        <v>142</v>
      </c>
      <c r="J10" s="3">
        <f>(COUNTIF('Transaction Detail'!K:K,"Matched")+COUNTIF('Transaction Detail'!K:K,"Potential Match")+COUNTIF('Transaction Detail'!K:K,"Timing Difference")+COUNTIF('Transaction Detail'!K:K,"Amount Mismatch"))/B6</f>
        <v>0.99187817258883249</v>
      </c>
      <c r="AA10" s="6" t="s">
        <v>3037</v>
      </c>
      <c r="AB10">
        <v>993</v>
      </c>
    </row>
  </sheetData>
  <mergeCells count="7">
    <mergeCell ref="B2:L2"/>
    <mergeCell ref="B5:D5"/>
    <mergeCell ref="F5:H5"/>
    <mergeCell ref="J5:L5"/>
    <mergeCell ref="B9:D9"/>
    <mergeCell ref="F9:H9"/>
    <mergeCell ref="J9:L9"/>
  </mergeCells>
  <pageMargins left="0.7" right="0.7" top="0.75" bottom="0.75" header="0.3" footer="0.3"/>
  <drawing r:id="rId2"/>
  <extLst>
    <ext xmlns:x14="http://schemas.microsoft.com/office/spreadsheetml/2009/9/main" uri="{A8765BA9-456A-4dab-B4F3-ACF838C121DE}">
      <x14:slicerList>
        <x14:slicer r:id="rId3"/>
      </x14:slicerList>
    </ext>
  </extLst>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E28DBF9-0922-4CC1-BE97-E47D5CDA6F4C}">
  <dimension ref="B2:AB10"/>
  <sheetViews>
    <sheetView workbookViewId="0">
      <selection activeCell="N14" sqref="N14"/>
    </sheetView>
  </sheetViews>
  <sheetFormatPr defaultRowHeight="14.4" x14ac:dyDescent="0.3"/>
  <cols>
    <col min="14" max="14" width="26.77734375" bestFit="1" customWidth="1"/>
    <col min="15" max="15" width="20.33203125" bestFit="1" customWidth="1"/>
    <col min="27" max="27" width="26.77734375" bestFit="1" customWidth="1"/>
    <col min="28" max="28" width="20.33203125" bestFit="1" customWidth="1"/>
  </cols>
  <sheetData>
    <row r="2" spans="2:28" ht="25.8" x14ac:dyDescent="0.5">
      <c r="B2" s="15" t="s">
        <v>3039</v>
      </c>
      <c r="C2" s="15"/>
      <c r="D2" s="15"/>
      <c r="E2" s="15"/>
      <c r="F2" s="15"/>
      <c r="G2" s="15"/>
      <c r="H2" s="15"/>
      <c r="I2" s="15"/>
      <c r="J2" s="15"/>
      <c r="K2" s="15"/>
      <c r="L2" s="15"/>
    </row>
    <row r="3" spans="2:28" x14ac:dyDescent="0.3">
      <c r="B3" t="s">
        <v>3040</v>
      </c>
      <c r="AA3" s="5" t="s">
        <v>3036</v>
      </c>
      <c r="AB3" t="s">
        <v>3038</v>
      </c>
    </row>
    <row r="4" spans="2:28" x14ac:dyDescent="0.3">
      <c r="AA4" s="6" t="s">
        <v>278</v>
      </c>
      <c r="AB4">
        <v>33</v>
      </c>
    </row>
    <row r="5" spans="2:28" ht="15" x14ac:dyDescent="0.35">
      <c r="B5" s="14" t="s">
        <v>3032</v>
      </c>
      <c r="C5" s="14"/>
      <c r="D5" s="14"/>
      <c r="E5" s="14" t="s">
        <v>3041</v>
      </c>
      <c r="F5" s="14"/>
      <c r="G5" s="14"/>
      <c r="H5" s="14" t="s">
        <v>3042</v>
      </c>
      <c r="I5" s="14"/>
      <c r="J5" s="14"/>
      <c r="K5" s="14" t="s">
        <v>3043</v>
      </c>
      <c r="L5" s="14"/>
      <c r="M5" s="14"/>
      <c r="N5" s="14"/>
      <c r="AA5" s="6" t="s">
        <v>3018</v>
      </c>
      <c r="AB5">
        <v>7</v>
      </c>
    </row>
    <row r="6" spans="2:28" ht="23.4" x14ac:dyDescent="0.3">
      <c r="B6" s="7">
        <f>COUNTIF('Transaction Detail'!K:K,"Potential Match")+COUNTIF('Transaction Detail'!K:K,"Amount Mismatch")+COUNTIF('Transaction Detail'!K:K,"Timing Difference")+COUNTIF('Transaction Detail'!K:K,"Duplicate Candidate")+COUNTIF('Transaction Detail'!K:K,"Unmatched Bank Transaction")+COUNTIF('Transaction Detail'!K:K,"Unmatched Ledger Transaction")</f>
        <v>142</v>
      </c>
      <c r="E6" s="7">
        <f>COUNTIF('Transaction Detail'!K:K,"Amount Mismatch")</f>
        <v>33</v>
      </c>
      <c r="H6" s="7">
        <f>COUNTIF('Transaction Detail'!K:K,"Timing Difference")</f>
        <v>28</v>
      </c>
      <c r="K6" s="7">
        <f>COUNTIF('Transaction Detail'!K:K,"Unmatched Bank Transaction")+COUNTIF('Transaction Detail'!K:K,"Unmatched Ledger Transaction")</f>
        <v>9</v>
      </c>
      <c r="AA6" s="6" t="s">
        <v>91</v>
      </c>
      <c r="AB6">
        <v>65</v>
      </c>
    </row>
    <row r="7" spans="2:28" x14ac:dyDescent="0.3">
      <c r="AA7" s="6" t="s">
        <v>235</v>
      </c>
      <c r="AB7">
        <v>28</v>
      </c>
    </row>
    <row r="8" spans="2:28" x14ac:dyDescent="0.3">
      <c r="AA8" s="6" t="s">
        <v>162</v>
      </c>
      <c r="AB8">
        <v>8</v>
      </c>
    </row>
    <row r="9" spans="2:28" x14ac:dyDescent="0.3">
      <c r="AA9" s="6" t="s">
        <v>3015</v>
      </c>
      <c r="AB9">
        <v>1</v>
      </c>
    </row>
    <row r="10" spans="2:28" x14ac:dyDescent="0.3">
      <c r="AA10" s="6" t="s">
        <v>3037</v>
      </c>
      <c r="AB10">
        <v>142</v>
      </c>
    </row>
  </sheetData>
  <mergeCells count="5">
    <mergeCell ref="B5:D5"/>
    <mergeCell ref="E5:G5"/>
    <mergeCell ref="H5:J5"/>
    <mergeCell ref="K5:N5"/>
    <mergeCell ref="B2:L2"/>
  </mergeCells>
  <pageMargins left="0.7" right="0.7" top="0.75" bottom="0.75" header="0.3" footer="0.3"/>
  <drawing r:id="rId2"/>
  <extLst>
    <ext xmlns:x14="http://schemas.microsoft.com/office/spreadsheetml/2009/9/main" uri="{A8765BA9-456A-4dab-B4F3-ACF838C121DE}">
      <x14:slicerList>
        <x14:slicer r:id="rId3"/>
      </x14:slicerList>
    </ext>
  </extLs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4A3D31F-1995-4EDB-A3FB-EC215552E63E}">
  <dimension ref="B1:XFD11"/>
  <sheetViews>
    <sheetView workbookViewId="0">
      <selection activeCell="E14" sqref="E14"/>
    </sheetView>
  </sheetViews>
  <sheetFormatPr defaultRowHeight="14.4" x14ac:dyDescent="0.3"/>
  <cols>
    <col min="2" max="2" width="19.21875" customWidth="1"/>
    <col min="3" max="3" width="9.6640625" customWidth="1"/>
  </cols>
  <sheetData>
    <row r="1" spans="2:8 16384:16384" x14ac:dyDescent="0.3">
      <c r="XFD1" t="e">
        <f ca="1">LEFT(CELL("filename",A1),FIND("\dashboards\excel\",CELL("filename",A1))-1)</f>
        <v>#VALUE!</v>
      </c>
    </row>
    <row r="2" spans="2:8 16384:16384" ht="21" x14ac:dyDescent="0.3">
      <c r="B2" s="16" t="s">
        <v>3044</v>
      </c>
      <c r="C2" s="16"/>
      <c r="D2" s="16"/>
      <c r="E2" s="16"/>
      <c r="F2" s="16"/>
      <c r="G2" s="16"/>
      <c r="H2" s="16"/>
    </row>
    <row r="3" spans="2:8 16384:16384" ht="15" x14ac:dyDescent="0.3">
      <c r="B3" s="8" t="s">
        <v>3045</v>
      </c>
    </row>
    <row r="5" spans="2:8 16384:16384" x14ac:dyDescent="0.3">
      <c r="B5" s="9" t="s">
        <v>3046</v>
      </c>
      <c r="C5" s="9" t="s">
        <v>3047</v>
      </c>
      <c r="D5" s="9" t="s">
        <v>3048</v>
      </c>
      <c r="E5" s="9" t="s">
        <v>3035</v>
      </c>
    </row>
    <row r="6" spans="2:8 16384:16384" ht="15" x14ac:dyDescent="0.3">
      <c r="B6" s="10" t="s">
        <v>3049</v>
      </c>
      <c r="C6" s="11">
        <v>985</v>
      </c>
      <c r="D6" s="11" cm="1">
        <f t="array" ref="D6">COUNTA(_xlfn.UNIQUE(_xlfn._xlws.FILTER('Transaction Detail'!A2:A10000,'Transaction Detail'!A2:A10000&lt;&gt;"")))</f>
        <v>985</v>
      </c>
      <c r="E6" s="11" t="str">
        <f>IF(C6=D6,"PASS","FAIL")</f>
        <v>PASS</v>
      </c>
    </row>
    <row r="7" spans="2:8 16384:16384" ht="15" x14ac:dyDescent="0.3">
      <c r="B7" s="10" t="s">
        <v>3050</v>
      </c>
      <c r="C7" s="11">
        <v>985</v>
      </c>
      <c r="D7" s="11" cm="1">
        <f t="array" ref="D7">COUNTA(_xlfn.UNIQUE(_xlfn._xlws.FILTER('Transaction Detail'!B2:B10000,'Transaction Detail'!B2:B10000&lt;&gt;"")))</f>
        <v>985</v>
      </c>
      <c r="E7" s="11" t="str">
        <f t="shared" ref="E7:E11" si="0">IF(C7=D7,"PASS","FAIL")</f>
        <v>PASS</v>
      </c>
    </row>
    <row r="8" spans="2:8 16384:16384" ht="15" x14ac:dyDescent="0.3">
      <c r="B8" s="10" t="s">
        <v>3051</v>
      </c>
      <c r="C8" s="11">
        <v>851</v>
      </c>
      <c r="D8" s="11">
        <f>COUNTIF('Transaction Detail'!K:K,"Matched")</f>
        <v>851</v>
      </c>
      <c r="E8" s="11" t="str">
        <f t="shared" si="0"/>
        <v>PASS</v>
      </c>
    </row>
    <row r="9" spans="2:8 16384:16384" ht="15" x14ac:dyDescent="0.3">
      <c r="B9" s="10" t="s">
        <v>3052</v>
      </c>
      <c r="C9" s="11">
        <v>142</v>
      </c>
      <c r="D9" s="11">
        <f>COUNTIFS('Transaction Detail'!K2:K10000,"&lt;&gt;Matched",'Transaction Detail'!K2:K10000,"&lt;&gt;")</f>
        <v>142</v>
      </c>
      <c r="E9" s="11" t="str">
        <f t="shared" si="0"/>
        <v>PASS</v>
      </c>
    </row>
    <row r="10" spans="2:8 16384:16384" ht="15" x14ac:dyDescent="0.3">
      <c r="B10" s="10" t="s">
        <v>3053</v>
      </c>
      <c r="C10" s="11">
        <v>993</v>
      </c>
      <c r="D10" s="11">
        <f>COUNTA('Transaction Detail'!A:A)-1</f>
        <v>993</v>
      </c>
      <c r="E10" s="11" t="str">
        <f t="shared" si="0"/>
        <v>PASS</v>
      </c>
    </row>
    <row r="11" spans="2:8 16384:16384" ht="15" x14ac:dyDescent="0.3">
      <c r="B11" s="10" t="s">
        <v>3054</v>
      </c>
      <c r="C11" s="11">
        <v>993</v>
      </c>
      <c r="D11" s="11">
        <f>COUNTA('Transaction Detail'!K:K)-1</f>
        <v>993</v>
      </c>
      <c r="E11" s="11" t="str">
        <f t="shared" si="0"/>
        <v>PASS</v>
      </c>
    </row>
  </sheetData>
  <mergeCells count="1">
    <mergeCell ref="B2:H2"/>
  </mergeCells>
  <conditionalFormatting sqref="E6:E11">
    <cfRule type="containsText" dxfId="0" priority="1" operator="containsText" text="PASS">
      <formula>NOT(ISERROR(SEARCH("PASS",E6)))</formula>
    </cfRule>
  </conditionalFormatting>
  <pageMargins left="0.7" right="0.7" top="0.75" bottom="0.75" header="0.3" footer="0.3"/>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item1.xml>��
</file>

<file path=customXml/itemProps1.xml><?xml version="1.0" encoding="utf-8"?>
<ds:datastoreItem xmlns:ds="http://schemas.openxmlformats.org/officeDocument/2006/customXml" ds:itemID="{B3B85A44-5EA1-46B9-B205-D3ED70B33535}">
  <ds:schemaRefs>
    <ds:schemaRef ds:uri="http://schemas.microsoft.com/DataMashup"/>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4</vt:i4>
      </vt:variant>
      <vt:variant>
        <vt:lpstr>Named Ranges</vt:lpstr>
      </vt:variant>
      <vt:variant>
        <vt:i4>1</vt:i4>
      </vt:variant>
    </vt:vector>
  </HeadingPairs>
  <TitlesOfParts>
    <vt:vector size="5" baseType="lpstr">
      <vt:lpstr>Transaction Detail</vt:lpstr>
      <vt:lpstr>Executive Summary</vt:lpstr>
      <vt:lpstr>Exception Report</vt:lpstr>
      <vt:lpstr>Control Checks</vt:lpstr>
      <vt:lpstr>ProjectRoot</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VIJAY</dc:creator>
  <cp:lastModifiedBy>Vijay P D</cp:lastModifiedBy>
  <dcterms:created xsi:type="dcterms:W3CDTF">2015-06-05T18:17:20Z</dcterms:created>
  <dcterms:modified xsi:type="dcterms:W3CDTF">2026-08-31T09:18:15Z</dcterms:modified>
</cp:coreProperties>
</file>